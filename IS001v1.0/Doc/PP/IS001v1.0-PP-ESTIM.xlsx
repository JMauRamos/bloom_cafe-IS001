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" ContentType="application/msword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uricio Ramos\Documents\Sistemas\Sexto Semestre\Ingeniería de Software\Épicas e Historias de Usuario\"/>
    </mc:Choice>
  </mc:AlternateContent>
  <xr:revisionPtr revIDLastSave="0" documentId="13_ncr:1_{E20A0A67-E32E-457D-878B-102CDA94587A}" xr6:coauthVersionLast="47" xr6:coauthVersionMax="47" xr10:uidLastSave="{00000000-0000-0000-0000-000000000000}"/>
  <bookViews>
    <workbookView xWindow="-120" yWindow="-120" windowWidth="29040" windowHeight="15990" tabRatio="760" firstSheet="4" activeTab="13" xr2:uid="{00000000-000D-0000-FFFF-FFFF00000000}"/>
  </bookViews>
  <sheets>
    <sheet name="Complejidad" sheetId="4" r:id="rId1"/>
    <sheet name="E-01" sheetId="1" r:id="rId2"/>
    <sheet name="E-02" sheetId="19" r:id="rId3"/>
    <sheet name="E-03" sheetId="20" r:id="rId4"/>
    <sheet name="E-04" sheetId="27" r:id="rId5"/>
    <sheet name="E-05" sheetId="28" r:id="rId6"/>
    <sheet name="E-06" sheetId="29" r:id="rId7"/>
    <sheet name="Puntos de Función" sheetId="18" r:id="rId8"/>
    <sheet name="Estimación de Esfuerzo y Tamaño" sheetId="21" r:id="rId9"/>
    <sheet name="Riesgos" sheetId="22" r:id="rId10"/>
    <sheet name="Planilla de Precios" sheetId="23" r:id="rId11"/>
    <sheet name="Historia de Proy" sheetId="24" r:id="rId12"/>
    <sheet name="Criterios de Complejidad" sheetId="2" r:id="rId13"/>
    <sheet name="Historial de cambios" sheetId="25" r:id="rId14"/>
  </sheets>
  <definedNames>
    <definedName name="_xlnm.Print_Area" localSheetId="0">Complejidad!$A$3:$H$41</definedName>
    <definedName name="_xlnm.Print_Area" localSheetId="1">'E-01'!$A$10:$K$35</definedName>
    <definedName name="_xlnm.Print_Area" localSheetId="2">'E-02'!$A$10:$K$35</definedName>
    <definedName name="_xlnm.Print_Area" localSheetId="3">'E-03'!$A$10:$K$35</definedName>
    <definedName name="_xlnm.Print_Area" localSheetId="4">'E-04'!$A$10:$K$35</definedName>
    <definedName name="_xlnm.Print_Area" localSheetId="5">'E-05'!$A$10:$K$35</definedName>
    <definedName name="_xlnm.Print_Area" localSheetId="6">'E-06'!$A$10:$K$35</definedName>
    <definedName name="Complej.">#REF!</definedName>
    <definedName name="EF">#REF!</definedName>
    <definedName name="TAW">#REF!</definedName>
    <definedName name="TBF">#REF!</definedName>
    <definedName name="TCF">#REF!</definedName>
    <definedName name="UUCP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33" i="29" l="1"/>
  <c r="H29" i="29"/>
  <c r="G29" i="29"/>
  <c r="F29" i="29"/>
  <c r="A29" i="29"/>
  <c r="K28" i="29"/>
  <c r="J28" i="29"/>
  <c r="I28" i="29"/>
  <c r="K27" i="29"/>
  <c r="J27" i="29"/>
  <c r="I27" i="29"/>
  <c r="K25" i="29"/>
  <c r="J25" i="29"/>
  <c r="I25" i="29"/>
  <c r="K23" i="29"/>
  <c r="J23" i="29"/>
  <c r="I23" i="29"/>
  <c r="K21" i="29"/>
  <c r="J21" i="29"/>
  <c r="I21" i="29"/>
  <c r="K20" i="29"/>
  <c r="J20" i="29"/>
  <c r="I20" i="29"/>
  <c r="K19" i="29"/>
  <c r="J19" i="29"/>
  <c r="I19" i="29"/>
  <c r="C33" i="28"/>
  <c r="H29" i="28"/>
  <c r="G29" i="28"/>
  <c r="F29" i="28"/>
  <c r="A29" i="28"/>
  <c r="K28" i="28"/>
  <c r="J28" i="28"/>
  <c r="I28" i="28"/>
  <c r="K27" i="28"/>
  <c r="J27" i="28"/>
  <c r="I27" i="28"/>
  <c r="K25" i="28"/>
  <c r="J25" i="28"/>
  <c r="I25" i="28"/>
  <c r="K23" i="28"/>
  <c r="J23" i="28"/>
  <c r="I23" i="28"/>
  <c r="K21" i="28"/>
  <c r="J21" i="28"/>
  <c r="I21" i="28"/>
  <c r="K20" i="28"/>
  <c r="J20" i="28"/>
  <c r="I20" i="28"/>
  <c r="L20" i="28" s="1"/>
  <c r="K19" i="28"/>
  <c r="J19" i="28"/>
  <c r="I19" i="28"/>
  <c r="C33" i="27"/>
  <c r="H29" i="27"/>
  <c r="G29" i="27"/>
  <c r="F29" i="27"/>
  <c r="A29" i="27"/>
  <c r="K28" i="27"/>
  <c r="J28" i="27"/>
  <c r="I28" i="27"/>
  <c r="K27" i="27"/>
  <c r="J27" i="27"/>
  <c r="I27" i="27"/>
  <c r="K25" i="27"/>
  <c r="J25" i="27"/>
  <c r="I25" i="27"/>
  <c r="K23" i="27"/>
  <c r="J23" i="27"/>
  <c r="I23" i="27"/>
  <c r="L23" i="27" s="1"/>
  <c r="K21" i="27"/>
  <c r="J21" i="27"/>
  <c r="I21" i="27"/>
  <c r="K20" i="27"/>
  <c r="J20" i="27"/>
  <c r="I20" i="27"/>
  <c r="K19" i="27"/>
  <c r="J19" i="27"/>
  <c r="I19" i="27"/>
  <c r="K28" i="20"/>
  <c r="J28" i="20"/>
  <c r="I28" i="20"/>
  <c r="L28" i="20" s="1"/>
  <c r="K27" i="20"/>
  <c r="J27" i="20"/>
  <c r="I27" i="20"/>
  <c r="K25" i="20"/>
  <c r="J25" i="20"/>
  <c r="I25" i="20"/>
  <c r="K23" i="20"/>
  <c r="J23" i="20"/>
  <c r="I23" i="20"/>
  <c r="K21" i="20"/>
  <c r="J21" i="20"/>
  <c r="I21" i="20"/>
  <c r="K20" i="20"/>
  <c r="J20" i="20"/>
  <c r="I20" i="20"/>
  <c r="K19" i="20"/>
  <c r="J19" i="20"/>
  <c r="I19" i="20"/>
  <c r="K28" i="19"/>
  <c r="J28" i="19"/>
  <c r="I28" i="19"/>
  <c r="K27" i="19"/>
  <c r="J27" i="19"/>
  <c r="I27" i="19"/>
  <c r="L27" i="19" s="1"/>
  <c r="K25" i="19"/>
  <c r="J25" i="19"/>
  <c r="I25" i="19"/>
  <c r="K23" i="19"/>
  <c r="J23" i="19"/>
  <c r="I23" i="19"/>
  <c r="K21" i="19"/>
  <c r="J21" i="19"/>
  <c r="I21" i="19"/>
  <c r="K20" i="19"/>
  <c r="J20" i="19"/>
  <c r="I20" i="19"/>
  <c r="K19" i="19"/>
  <c r="J19" i="19"/>
  <c r="I19" i="19"/>
  <c r="C33" i="1"/>
  <c r="C33" i="19"/>
  <c r="C33" i="20"/>
  <c r="E8" i="21"/>
  <c r="B12" i="21"/>
  <c r="B13" i="21" s="1"/>
  <c r="B14" i="21" s="1"/>
  <c r="B15" i="21" s="1"/>
  <c r="B16" i="21" s="1"/>
  <c r="B17" i="21" s="1"/>
  <c r="E13" i="22"/>
  <c r="A14" i="22"/>
  <c r="E14" i="22"/>
  <c r="A15" i="22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E15" i="22"/>
  <c r="G15" i="22"/>
  <c r="D48" i="23" s="1"/>
  <c r="E16" i="22"/>
  <c r="G16" i="22"/>
  <c r="D49" i="23" s="1"/>
  <c r="E17" i="22"/>
  <c r="G17" i="22"/>
  <c r="D50" i="23" s="1"/>
  <c r="E18" i="22"/>
  <c r="G18" i="22"/>
  <c r="D51" i="23" s="1"/>
  <c r="F51" i="23" s="1"/>
  <c r="E19" i="22"/>
  <c r="G19" i="22"/>
  <c r="D52" i="23" s="1"/>
  <c r="F52" i="23" s="1"/>
  <c r="E20" i="22"/>
  <c r="G20" i="22"/>
  <c r="D53" i="23" s="1"/>
  <c r="F53" i="23" s="1"/>
  <c r="E21" i="22"/>
  <c r="G21" i="22"/>
  <c r="D54" i="23" s="1"/>
  <c r="E22" i="22"/>
  <c r="G22" i="22"/>
  <c r="D55" i="23" s="1"/>
  <c r="E23" i="22"/>
  <c r="G23" i="22"/>
  <c r="D56" i="23" s="1"/>
  <c r="E24" i="22"/>
  <c r="G24" i="22"/>
  <c r="D57" i="23" s="1"/>
  <c r="H57" i="23" s="1"/>
  <c r="E25" i="22"/>
  <c r="G25" i="22"/>
  <c r="D58" i="23" s="1"/>
  <c r="F58" i="23" s="1"/>
  <c r="E26" i="22"/>
  <c r="G26" i="22"/>
  <c r="D59" i="23" s="1"/>
  <c r="F59" i="23" s="1"/>
  <c r="E27" i="22"/>
  <c r="G27" i="22"/>
  <c r="D60" i="23" s="1"/>
  <c r="E28" i="22"/>
  <c r="G28" i="22"/>
  <c r="D61" i="23" s="1"/>
  <c r="H61" i="23" s="1"/>
  <c r="E29" i="22"/>
  <c r="G29" i="22"/>
  <c r="D62" i="23" s="1"/>
  <c r="E30" i="22"/>
  <c r="G30" i="22"/>
  <c r="D63" i="23" s="1"/>
  <c r="E31" i="22"/>
  <c r="G31" i="22"/>
  <c r="D64" i="23" s="1"/>
  <c r="H64" i="23" s="1"/>
  <c r="E32" i="22"/>
  <c r="G32" i="22"/>
  <c r="D65" i="23" s="1"/>
  <c r="H65" i="23" s="1"/>
  <c r="C13" i="23"/>
  <c r="B14" i="23"/>
  <c r="B15" i="23" s="1"/>
  <c r="B16" i="23" s="1"/>
  <c r="B17" i="23" s="1"/>
  <c r="B18" i="23" s="1"/>
  <c r="B19" i="23" s="1"/>
  <c r="B20" i="23" s="1"/>
  <c r="C14" i="23"/>
  <c r="C15" i="23"/>
  <c r="C16" i="23"/>
  <c r="C17" i="23"/>
  <c r="C18" i="23"/>
  <c r="C19" i="23"/>
  <c r="C20" i="23"/>
  <c r="D21" i="23"/>
  <c r="F23" i="23"/>
  <c r="H23" i="23"/>
  <c r="F24" i="23"/>
  <c r="H24" i="23"/>
  <c r="F25" i="23"/>
  <c r="H25" i="23"/>
  <c r="F26" i="23"/>
  <c r="H26" i="23"/>
  <c r="F27" i="23"/>
  <c r="H27" i="23"/>
  <c r="F28" i="23"/>
  <c r="H28" i="23"/>
  <c r="F29" i="23"/>
  <c r="H29" i="23"/>
  <c r="F30" i="23"/>
  <c r="H30" i="23"/>
  <c r="F31" i="23"/>
  <c r="H31" i="23"/>
  <c r="F32" i="23"/>
  <c r="H32" i="23"/>
  <c r="F33" i="23"/>
  <c r="H33" i="23"/>
  <c r="F34" i="23"/>
  <c r="H34" i="23"/>
  <c r="F35" i="23"/>
  <c r="H35" i="23"/>
  <c r="F36" i="23"/>
  <c r="H36" i="23"/>
  <c r="F37" i="23"/>
  <c r="H37" i="23"/>
  <c r="F38" i="23"/>
  <c r="H38" i="23"/>
  <c r="F39" i="23"/>
  <c r="H39" i="23"/>
  <c r="F40" i="23"/>
  <c r="H40" i="23"/>
  <c r="F41" i="23"/>
  <c r="H41" i="23"/>
  <c r="F42" i="23"/>
  <c r="H42" i="23"/>
  <c r="F43" i="23"/>
  <c r="H43" i="23"/>
  <c r="C46" i="23"/>
  <c r="B47" i="23"/>
  <c r="B48" i="23" s="1"/>
  <c r="B49" i="23" s="1"/>
  <c r="B50" i="23" s="1"/>
  <c r="B51" i="23" s="1"/>
  <c r="B52" i="23" s="1"/>
  <c r="B53" i="23" s="1"/>
  <c r="B54" i="23" s="1"/>
  <c r="B55" i="23" s="1"/>
  <c r="B56" i="23" s="1"/>
  <c r="B57" i="23" s="1"/>
  <c r="B58" i="23" s="1"/>
  <c r="B59" i="23" s="1"/>
  <c r="B60" i="23" s="1"/>
  <c r="B61" i="23" s="1"/>
  <c r="B62" i="23" s="1"/>
  <c r="B63" i="23" s="1"/>
  <c r="B64" i="23" s="1"/>
  <c r="B65" i="23" s="1"/>
  <c r="C47" i="23"/>
  <c r="C48" i="23"/>
  <c r="C49" i="23"/>
  <c r="C50" i="23"/>
  <c r="C51" i="23"/>
  <c r="C52" i="23"/>
  <c r="C53" i="23"/>
  <c r="C54" i="23"/>
  <c r="C55" i="23"/>
  <c r="C56" i="23"/>
  <c r="C57" i="23"/>
  <c r="C58" i="23"/>
  <c r="C59" i="23"/>
  <c r="C60" i="23"/>
  <c r="C61" i="23"/>
  <c r="C62" i="23"/>
  <c r="C63" i="23"/>
  <c r="C64" i="23"/>
  <c r="C65" i="23"/>
  <c r="A29" i="20"/>
  <c r="F29" i="20"/>
  <c r="G29" i="20"/>
  <c r="H29" i="20"/>
  <c r="A29" i="19"/>
  <c r="F29" i="19"/>
  <c r="G29" i="19"/>
  <c r="H29" i="19"/>
  <c r="B9" i="18"/>
  <c r="B10" i="18" s="1"/>
  <c r="B11" i="18" s="1"/>
  <c r="B12" i="18" s="1"/>
  <c r="B13" i="18" s="1"/>
  <c r="I19" i="1"/>
  <c r="J19" i="1"/>
  <c r="K19" i="1"/>
  <c r="I20" i="1"/>
  <c r="J20" i="1"/>
  <c r="K20" i="1"/>
  <c r="I21" i="1"/>
  <c r="J21" i="1"/>
  <c r="K21" i="1"/>
  <c r="I23" i="1"/>
  <c r="J23" i="1"/>
  <c r="K23" i="1"/>
  <c r="I25" i="1"/>
  <c r="J25" i="1"/>
  <c r="K25" i="1"/>
  <c r="I27" i="1"/>
  <c r="J27" i="1"/>
  <c r="K27" i="1"/>
  <c r="I28" i="1"/>
  <c r="J28" i="1"/>
  <c r="K28" i="1"/>
  <c r="G24" i="4"/>
  <c r="G25" i="4" s="1"/>
  <c r="A29" i="1"/>
  <c r="H29" i="1"/>
  <c r="G29" i="1"/>
  <c r="F29" i="1"/>
  <c r="L27" i="28" l="1"/>
  <c r="L23" i="29"/>
  <c r="L27" i="20"/>
  <c r="E21" i="23"/>
  <c r="K29" i="19"/>
  <c r="K31" i="19" s="1"/>
  <c r="K35" i="19" s="1"/>
  <c r="L23" i="19"/>
  <c r="L28" i="19"/>
  <c r="K29" i="28"/>
  <c r="K31" i="28" s="1"/>
  <c r="K35" i="28" s="1"/>
  <c r="L21" i="28"/>
  <c r="L28" i="28"/>
  <c r="I29" i="29"/>
  <c r="I31" i="29" s="1"/>
  <c r="I35" i="29" s="1"/>
  <c r="K29" i="27"/>
  <c r="K31" i="27" s="1"/>
  <c r="K35" i="27" s="1"/>
  <c r="L28" i="27"/>
  <c r="K29" i="29"/>
  <c r="K31" i="29" s="1"/>
  <c r="K35" i="29" s="1"/>
  <c r="L21" i="29"/>
  <c r="L28" i="29"/>
  <c r="L27" i="27"/>
  <c r="J29" i="28"/>
  <c r="J31" i="28" s="1"/>
  <c r="J35" i="28" s="1"/>
  <c r="L23" i="28"/>
  <c r="L20" i="29"/>
  <c r="L27" i="29"/>
  <c r="L21" i="27"/>
  <c r="I29" i="27"/>
  <c r="I31" i="27" s="1"/>
  <c r="I35" i="27" s="1"/>
  <c r="I29" i="28"/>
  <c r="I31" i="28" s="1"/>
  <c r="I35" i="28" s="1"/>
  <c r="L25" i="27"/>
  <c r="L25" i="28"/>
  <c r="L25" i="29"/>
  <c r="J29" i="29"/>
  <c r="J31" i="29" s="1"/>
  <c r="J35" i="29" s="1"/>
  <c r="L21" i="20"/>
  <c r="J29" i="27"/>
  <c r="J31" i="27" s="1"/>
  <c r="J35" i="27" s="1"/>
  <c r="L20" i="27"/>
  <c r="K29" i="20"/>
  <c r="K31" i="20" s="1"/>
  <c r="K35" i="20" s="1"/>
  <c r="I29" i="20"/>
  <c r="I31" i="20" s="1"/>
  <c r="I35" i="20" s="1"/>
  <c r="L25" i="20"/>
  <c r="L25" i="1"/>
  <c r="L19" i="29"/>
  <c r="L19" i="28"/>
  <c r="L19" i="27"/>
  <c r="L23" i="1"/>
  <c r="H63" i="23"/>
  <c r="F63" i="23"/>
  <c r="F65" i="23"/>
  <c r="F57" i="23"/>
  <c r="F55" i="23"/>
  <c r="H55" i="23"/>
  <c r="H51" i="23"/>
  <c r="F49" i="23"/>
  <c r="H49" i="23"/>
  <c r="J29" i="20"/>
  <c r="J31" i="20" s="1"/>
  <c r="J35" i="20" s="1"/>
  <c r="L19" i="1"/>
  <c r="L20" i="19"/>
  <c r="J29" i="19"/>
  <c r="J31" i="19" s="1"/>
  <c r="J35" i="19" s="1"/>
  <c r="F54" i="23"/>
  <c r="H54" i="23"/>
  <c r="H48" i="23"/>
  <c r="F48" i="23"/>
  <c r="J29" i="1"/>
  <c r="J31" i="1" s="1"/>
  <c r="J35" i="1" s="1"/>
  <c r="G21" i="23"/>
  <c r="H53" i="23"/>
  <c r="L19" i="19"/>
  <c r="L21" i="19"/>
  <c r="L25" i="19"/>
  <c r="L23" i="20"/>
  <c r="H59" i="23"/>
  <c r="L20" i="20"/>
  <c r="L27" i="1"/>
  <c r="K29" i="1"/>
  <c r="K31" i="1" s="1"/>
  <c r="K35" i="1" s="1"/>
  <c r="I29" i="1"/>
  <c r="I31" i="1" s="1"/>
  <c r="I35" i="1" s="1"/>
  <c r="L28" i="1"/>
  <c r="L21" i="1"/>
  <c r="F64" i="23"/>
  <c r="L19" i="20"/>
  <c r="F62" i="23"/>
  <c r="H62" i="23"/>
  <c r="F60" i="23"/>
  <c r="H60" i="23"/>
  <c r="F56" i="23"/>
  <c r="H56" i="23"/>
  <c r="F50" i="23"/>
  <c r="H50" i="23"/>
  <c r="H52" i="23"/>
  <c r="F61" i="23"/>
  <c r="I29" i="19"/>
  <c r="I31" i="19" s="1"/>
  <c r="I35" i="19" s="1"/>
  <c r="L20" i="1"/>
  <c r="H58" i="23"/>
  <c r="L29" i="27" l="1"/>
  <c r="L31" i="27" s="1"/>
  <c r="L35" i="27" s="1"/>
  <c r="D11" i="18" s="1"/>
  <c r="L29" i="29"/>
  <c r="L31" i="29" s="1"/>
  <c r="L35" i="29" s="1"/>
  <c r="D13" i="18" s="1"/>
  <c r="L29" i="28"/>
  <c r="L31" i="28" s="1"/>
  <c r="L35" i="28" s="1"/>
  <c r="D12" i="18" s="1"/>
  <c r="L29" i="20"/>
  <c r="L31" i="20" s="1"/>
  <c r="L35" i="20" s="1"/>
  <c r="D10" i="18" s="1"/>
  <c r="L29" i="1"/>
  <c r="L31" i="1" s="1"/>
  <c r="L35" i="1" s="1"/>
  <c r="D8" i="18" s="1"/>
  <c r="L29" i="19"/>
  <c r="L31" i="19" s="1"/>
  <c r="L35" i="19" s="1"/>
  <c r="D9" i="18" s="1"/>
  <c r="D14" i="18" l="1"/>
  <c r="D12" i="21" s="1"/>
  <c r="F15" i="21" s="1"/>
  <c r="D18" i="23" s="1"/>
  <c r="H18" i="23" s="1"/>
  <c r="F14" i="21" l="1"/>
  <c r="D17" i="23" s="1"/>
  <c r="H17" i="23" s="1"/>
  <c r="F11" i="21"/>
  <c r="D14" i="23" s="1"/>
  <c r="F14" i="23" s="1"/>
  <c r="F10" i="21"/>
  <c r="D13" i="23" s="1"/>
  <c r="H13" i="23" s="1"/>
  <c r="F12" i="21"/>
  <c r="F16" i="21"/>
  <c r="D19" i="23" s="1"/>
  <c r="F19" i="23" s="1"/>
  <c r="F17" i="21"/>
  <c r="D20" i="23" s="1"/>
  <c r="H20" i="23" s="1"/>
  <c r="F13" i="21"/>
  <c r="D16" i="23" s="1"/>
  <c r="F16" i="23" s="1"/>
  <c r="F18" i="23"/>
  <c r="F17" i="23" l="1"/>
  <c r="F20" i="23"/>
  <c r="H16" i="23"/>
  <c r="F13" i="23"/>
  <c r="H14" i="23"/>
  <c r="H19" i="23"/>
  <c r="F8" i="21"/>
  <c r="F13" i="22"/>
  <c r="D15" i="23"/>
  <c r="H15" i="23" s="1"/>
  <c r="G13" i="22" l="1"/>
  <c r="D46" i="23" s="1"/>
  <c r="H46" i="23" s="1"/>
  <c r="F14" i="22"/>
  <c r="F15" i="22"/>
  <c r="F23" i="22"/>
  <c r="F31" i="22"/>
  <c r="F26" i="22"/>
  <c r="F30" i="22"/>
  <c r="F16" i="22"/>
  <c r="F24" i="22"/>
  <c r="F32" i="22"/>
  <c r="F25" i="22"/>
  <c r="F27" i="22"/>
  <c r="F17" i="22"/>
  <c r="F18" i="22"/>
  <c r="F19" i="22"/>
  <c r="F20" i="22"/>
  <c r="F28" i="22"/>
  <c r="F22" i="22"/>
  <c r="F21" i="22"/>
  <c r="F29" i="22"/>
  <c r="G11" i="23"/>
  <c r="D11" i="23"/>
  <c r="F15" i="23"/>
  <c r="E11" i="23" s="1"/>
  <c r="G14" i="22"/>
  <c r="F46" i="23" l="1"/>
  <c r="G11" i="22"/>
  <c r="D47" i="23"/>
  <c r="F47" i="23" l="1"/>
  <c r="E44" i="23" s="1"/>
  <c r="E9" i="23" s="1"/>
  <c r="H47" i="23"/>
  <c r="G44" i="23" s="1"/>
  <c r="G9" i="23" s="1"/>
  <c r="D44" i="23"/>
  <c r="D9" i="2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ITERA</author>
  </authors>
  <commentList>
    <comment ref="D7" authorId="0" shapeId="0" xr:uid="{00000000-0006-0000-0400-000001000000}">
      <text>
        <r>
          <rPr>
            <b/>
            <sz val="8"/>
            <color indexed="81"/>
            <rFont val="Tahoma"/>
            <family val="2"/>
          </rPr>
          <t>ITERA:</t>
        </r>
        <r>
          <rPr>
            <sz val="8"/>
            <color indexed="81"/>
            <rFont val="Tahoma"/>
            <family val="2"/>
          </rPr>
          <t xml:space="preserve">
esfuerzo con ajuste de complejidad y productividad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Miguel Madero</author>
    <author>David M. Gonzalez Salinas</author>
    <author>Pablo A. De Ninnis</author>
  </authors>
  <commentList>
    <comment ref="B9" authorId="0" shapeId="0" xr:uid="{00000000-0006-0000-0500-000001000000}">
      <text>
        <r>
          <rPr>
            <b/>
            <sz val="8"/>
            <color indexed="81"/>
            <rFont val="Tahoma"/>
            <family val="2"/>
          </rPr>
          <t xml:space="preserve">Campo Autonumerico: </t>
        </r>
        <r>
          <rPr>
            <sz val="8"/>
            <color indexed="81"/>
            <rFont val="Tahoma"/>
            <family val="2"/>
          </rPr>
          <t xml:space="preserve">Solo se jala la celda para autoincrementar
</t>
        </r>
      </text>
    </comment>
    <comment ref="C9" authorId="1" shapeId="0" xr:uid="{00000000-0006-0000-0500-000002000000}">
      <text>
        <r>
          <rPr>
            <b/>
            <sz val="8"/>
            <color indexed="81"/>
            <rFont val="Tahoma"/>
            <family val="2"/>
          </rPr>
          <t>Etapas Principales.</t>
        </r>
      </text>
    </comment>
    <comment ref="D9" authorId="2" shapeId="0" xr:uid="{00000000-0006-0000-0500-000003000000}">
      <text>
        <r>
          <rPr>
            <b/>
            <sz val="8"/>
            <color indexed="81"/>
            <rFont val="Tahoma"/>
            <family val="2"/>
          </rPr>
          <t xml:space="preserve">Esfuerzo de la Implementación.
</t>
        </r>
        <r>
          <rPr>
            <sz val="8"/>
            <color indexed="81"/>
            <rFont val="Tahoma"/>
            <family val="2"/>
          </rPr>
          <t>Datos para tener un marco de Referencia.</t>
        </r>
      </text>
    </comment>
    <comment ref="E9" authorId="2" shapeId="0" xr:uid="{00000000-0006-0000-0500-000004000000}">
      <text>
        <r>
          <rPr>
            <b/>
            <sz val="8"/>
            <color indexed="81"/>
            <rFont val="Tahoma"/>
            <family val="2"/>
          </rPr>
          <t>Porcentaje del Esfuerzo por Etapa.</t>
        </r>
        <r>
          <rPr>
            <sz val="8"/>
            <color indexed="81"/>
            <rFont val="Tahoma"/>
            <family val="2"/>
          </rPr>
          <t xml:space="preserve">
Medida estandar y que se pretende mejorar para adaptar a estandares.
Datos para tener un marco de Referencia.</t>
        </r>
      </text>
    </comment>
    <comment ref="F9" authorId="1" shapeId="0" xr:uid="{00000000-0006-0000-0500-000005000000}">
      <text>
        <r>
          <rPr>
            <b/>
            <sz val="8"/>
            <color indexed="81"/>
            <rFont val="Tahoma"/>
            <family val="2"/>
          </rPr>
          <t>Esfuerzo Calculado:</t>
        </r>
        <r>
          <rPr>
            <sz val="8"/>
            <color indexed="81"/>
            <rFont val="Tahoma"/>
            <family val="2"/>
          </rPr>
          <t xml:space="preserve">
Basado en el estandar, y en el porcentaje por fase. Datos para tener un marco de Referencia.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Pablo A. De Ninnis</author>
  </authors>
  <commentList>
    <comment ref="C12" authorId="0" shapeId="0" xr:uid="{00000000-0006-0000-0600-000001000000}">
      <text>
        <r>
          <rPr>
            <b/>
            <sz val="8"/>
            <color indexed="81"/>
            <rFont val="Tahoma"/>
            <family val="2"/>
          </rPr>
          <t>Probabilidad (PR):</t>
        </r>
        <r>
          <rPr>
            <sz val="8"/>
            <color indexed="81"/>
            <rFont val="Tahoma"/>
            <family val="2"/>
          </rPr>
          <t xml:space="preserve">
Probabilidad de Ocurrencia del Riesgo</t>
        </r>
      </text>
    </comment>
    <comment ref="D12" authorId="0" shapeId="0" xr:uid="{00000000-0006-0000-0600-000002000000}">
      <text>
        <r>
          <rPr>
            <b/>
            <sz val="8"/>
            <color indexed="81"/>
            <rFont val="Tahoma"/>
            <family val="2"/>
          </rPr>
          <t>Impacto (IMP):</t>
        </r>
        <r>
          <rPr>
            <sz val="8"/>
            <color indexed="81"/>
            <rFont val="Tahoma"/>
            <family val="2"/>
          </rPr>
          <t xml:space="preserve">
% de Impacto sobre los componentes
100% implica rehacer todo</t>
        </r>
      </text>
    </comment>
    <comment ref="E12" authorId="0" shapeId="0" xr:uid="{00000000-0006-0000-0600-000003000000}">
      <text>
        <r>
          <rPr>
            <b/>
            <sz val="8"/>
            <color indexed="81"/>
            <rFont val="Tahoma"/>
            <family val="2"/>
          </rPr>
          <t>Exposición (E):</t>
        </r>
        <r>
          <rPr>
            <sz val="8"/>
            <color indexed="81"/>
            <rFont val="Tahoma"/>
            <family val="2"/>
          </rPr>
          <t xml:space="preserve">
PR * IMP</t>
        </r>
      </text>
    </comment>
    <comment ref="F12" authorId="0" shapeId="0" xr:uid="{00000000-0006-0000-0600-000004000000}">
      <text>
        <r>
          <rPr>
            <b/>
            <sz val="8"/>
            <color indexed="81"/>
            <rFont val="Tahoma"/>
            <family val="2"/>
          </rPr>
          <t>Componentes (COMP):</t>
        </r>
        <r>
          <rPr>
            <sz val="8"/>
            <color indexed="81"/>
            <rFont val="Tahoma"/>
            <family val="2"/>
          </rPr>
          <t xml:space="preserve">
Esfuerzo de los componentes afectados.  Debe hacer referencia a celdas de la estimación de esfuerzo.
</t>
        </r>
      </text>
    </comment>
    <comment ref="G12" authorId="0" shapeId="0" xr:uid="{00000000-0006-0000-0600-000005000000}">
      <text>
        <r>
          <rPr>
            <b/>
            <sz val="8"/>
            <color indexed="81"/>
            <rFont val="Tahoma"/>
            <family val="2"/>
          </rPr>
          <t>Horas:</t>
        </r>
        <r>
          <rPr>
            <sz val="8"/>
            <color indexed="81"/>
            <rFont val="Tahoma"/>
            <family val="2"/>
          </rPr>
          <t xml:space="preserve">
Con estrategia de Mitigación = E*COMP
Sin estrategia de Mitigación = E*COMP*2</t>
        </r>
      </text>
    </comment>
    <comment ref="I12" authorId="0" shapeId="0" xr:uid="{00000000-0006-0000-0600-000006000000}">
      <text>
        <r>
          <rPr>
            <b/>
            <sz val="8"/>
            <color indexed="81"/>
            <rFont val="Tahoma"/>
            <family val="2"/>
          </rPr>
          <t xml:space="preserve">Estrategia de Mitigación:
</t>
        </r>
        <r>
          <rPr>
            <sz val="8"/>
            <color indexed="81"/>
            <rFont val="Tahoma"/>
            <family val="2"/>
          </rPr>
          <t>Define la manera en que se tratarán los riesgos para que no sucedan.  Si se definen estrategias, el peso del riesgo se reduce a la mitad.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Miguel Madero</author>
  </authors>
  <commentList>
    <comment ref="D12" authorId="0" shapeId="0" xr:uid="{00000000-0006-0000-0700-000001000000}">
      <text>
        <r>
          <rPr>
            <b/>
            <sz val="8"/>
            <color indexed="81"/>
            <rFont val="Tahoma"/>
            <family val="2"/>
          </rPr>
          <t>Numero de Horas</t>
        </r>
        <r>
          <rPr>
            <sz val="8"/>
            <color indexed="81"/>
            <rFont val="Tahoma"/>
            <family val="2"/>
          </rPr>
          <t xml:space="preserve"> en las que se realizo la etapa</t>
        </r>
      </text>
    </comment>
    <comment ref="E12" authorId="0" shapeId="0" xr:uid="{00000000-0006-0000-0700-000002000000}">
      <text>
        <r>
          <rPr>
            <b/>
            <sz val="8"/>
            <color indexed="81"/>
            <rFont val="Tahoma"/>
            <family val="2"/>
          </rPr>
          <t xml:space="preserve">Costo por Hora </t>
        </r>
        <r>
          <rPr>
            <sz val="8"/>
            <color indexed="81"/>
            <rFont val="Tahoma"/>
            <family val="2"/>
          </rPr>
          <t>de la Etapa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12" authorId="0" shapeId="0" xr:uid="{00000000-0006-0000-0700-000003000000}">
      <text>
        <r>
          <rPr>
            <b/>
            <sz val="8"/>
            <color indexed="81"/>
            <rFont val="Tahoma"/>
            <family val="2"/>
          </rPr>
          <t>Precio en el mercado por Hora</t>
        </r>
        <r>
          <rPr>
            <sz val="8"/>
            <color indexed="81"/>
            <rFont val="Tahoma"/>
            <family val="2"/>
          </rPr>
          <t xml:space="preserve"> de la etapa</t>
        </r>
      </text>
    </comment>
    <comment ref="D22" authorId="0" shapeId="0" xr:uid="{00000000-0006-0000-0700-000004000000}">
      <text>
        <r>
          <rPr>
            <b/>
            <sz val="8"/>
            <color indexed="81"/>
            <rFont val="Tahoma"/>
            <family val="2"/>
          </rPr>
          <t xml:space="preserve">Numero de Horas </t>
        </r>
        <r>
          <rPr>
            <sz val="8"/>
            <color indexed="81"/>
            <rFont val="Tahoma"/>
            <family val="2"/>
          </rPr>
          <t>en las que se realizo la actividad adicional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22" authorId="0" shapeId="0" xr:uid="{00000000-0006-0000-0700-000005000000}">
      <text>
        <r>
          <rPr>
            <b/>
            <sz val="8"/>
            <color indexed="81"/>
            <rFont val="Tahoma"/>
            <family val="2"/>
          </rPr>
          <t xml:space="preserve">Costo por Hora </t>
        </r>
        <r>
          <rPr>
            <sz val="8"/>
            <color indexed="81"/>
            <rFont val="Tahoma"/>
            <family val="2"/>
          </rPr>
          <t>de la actividad adicional</t>
        </r>
      </text>
    </comment>
    <comment ref="G22" authorId="0" shapeId="0" xr:uid="{00000000-0006-0000-0700-000006000000}">
      <text>
        <r>
          <rPr>
            <b/>
            <sz val="8"/>
            <color indexed="81"/>
            <rFont val="Tahoma"/>
            <family val="2"/>
          </rPr>
          <t xml:space="preserve">Precio en el mercado por Hora </t>
        </r>
        <r>
          <rPr>
            <sz val="8"/>
            <color indexed="81"/>
            <rFont val="Tahoma"/>
            <family val="2"/>
          </rPr>
          <t>de la actividad adicional</t>
        </r>
      </text>
    </comment>
    <comment ref="D45" authorId="0" shapeId="0" xr:uid="{00000000-0006-0000-0700-000007000000}">
      <text>
        <r>
          <rPr>
            <b/>
            <sz val="8"/>
            <color indexed="81"/>
            <rFont val="Tahoma"/>
            <family val="2"/>
          </rPr>
          <t>Numero de Horas</t>
        </r>
        <r>
          <rPr>
            <sz val="8"/>
            <color indexed="81"/>
            <rFont val="Tahoma"/>
            <family val="2"/>
          </rPr>
          <t xml:space="preserve"> en las que el riesgo aumento la actividad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45" authorId="0" shapeId="0" xr:uid="{00000000-0006-0000-0700-000008000000}">
      <text>
        <r>
          <rPr>
            <b/>
            <sz val="8"/>
            <color indexed="81"/>
            <rFont val="Tahoma"/>
            <family val="2"/>
          </rPr>
          <t>Costo por Hora</t>
        </r>
        <r>
          <rPr>
            <sz val="8"/>
            <color indexed="81"/>
            <rFont val="Tahoma"/>
            <family val="2"/>
          </rPr>
          <t xml:space="preserve"> del riesgo generado
</t>
        </r>
      </text>
    </comment>
    <comment ref="G45" authorId="0" shapeId="0" xr:uid="{00000000-0006-0000-0700-000009000000}">
      <text>
        <r>
          <rPr>
            <b/>
            <sz val="8"/>
            <color indexed="81"/>
            <rFont val="Tahoma"/>
            <family val="2"/>
          </rPr>
          <t>Precio en el mercado por Hora</t>
        </r>
        <r>
          <rPr>
            <sz val="8"/>
            <color indexed="81"/>
            <rFont val="Tahoma"/>
            <family val="2"/>
          </rPr>
          <t xml:space="preserve"> del riesgo generado
</t>
        </r>
      </text>
    </comment>
  </commentList>
</comments>
</file>

<file path=xl/sharedStrings.xml><?xml version="1.0" encoding="utf-8"?>
<sst xmlns="http://schemas.openxmlformats.org/spreadsheetml/2006/main" count="474" uniqueCount="164">
  <si>
    <t>Objeto</t>
  </si>
  <si>
    <t>Objetos Estimados</t>
  </si>
  <si>
    <t>Tamaño Estimado</t>
  </si>
  <si>
    <t>Id</t>
  </si>
  <si>
    <t>Nombre</t>
  </si>
  <si>
    <t>Interfase</t>
  </si>
  <si>
    <t>Complejidad</t>
  </si>
  <si>
    <t>Descripción</t>
  </si>
  <si>
    <t>Prom</t>
  </si>
  <si>
    <t>2.1.1</t>
  </si>
  <si>
    <t>Comunicación de datos</t>
  </si>
  <si>
    <t>2.1.2</t>
  </si>
  <si>
    <t>Desempeño</t>
  </si>
  <si>
    <t>2.1.3</t>
  </si>
  <si>
    <t>Configuración</t>
  </si>
  <si>
    <t>2.1.4</t>
  </si>
  <si>
    <t>Tasa de Transacciones</t>
  </si>
  <si>
    <t>2.1.5</t>
  </si>
  <si>
    <t>Captura en línea de datos</t>
  </si>
  <si>
    <t>2.1.6</t>
  </si>
  <si>
    <t>Eficiencia al usuario Final</t>
  </si>
  <si>
    <t>2.1.7</t>
  </si>
  <si>
    <t>Actualización en línea</t>
  </si>
  <si>
    <t>2.1.8</t>
  </si>
  <si>
    <t>Complejidad de Proceso</t>
  </si>
  <si>
    <t>2.1.9</t>
  </si>
  <si>
    <t>Reusabilidad</t>
  </si>
  <si>
    <t>Proceso sin despliegue ni impresión.</t>
  </si>
  <si>
    <t>Proceso con desplegados y/o impresión.</t>
  </si>
  <si>
    <t>CRITERIOS DE COMPLEJIDAD</t>
  </si>
  <si>
    <t>Comunicación de Datos</t>
  </si>
  <si>
    <t>Sin requerimiento específico de desempeño.</t>
  </si>
  <si>
    <t>Cuidar tiempo de respuesta en horas de negocio pico.</t>
  </si>
  <si>
    <t>Requiere análisis de desempeño.</t>
  </si>
  <si>
    <t>Restricciones operacionales sin esfuerzo especial.</t>
  </si>
  <si>
    <t>Consideraciones de seguridad y/o sincronía con otros componentes.</t>
  </si>
  <si>
    <t>Consideración especial de diseño para sincronía con otros componentes.</t>
  </si>
  <si>
    <t>Sin periodos pico de transacciones.</t>
  </si>
  <si>
    <t>Con periodos pico de transacciones diarios o semanales.</t>
  </si>
  <si>
    <t>Alto nivel de transacciones constante.</t>
  </si>
  <si>
    <t>Proceso de transacciones en forma batch.</t>
  </si>
  <si>
    <t>Hasta 30% deTransacciones interactivas con captura de datos.</t>
  </si>
  <si>
    <t>Más de 30% deTransacciones interactivas con captura de datos.</t>
  </si>
  <si>
    <t>Captura de Datos en Línea</t>
  </si>
  <si>
    <t>Eficiencia al usuario final</t>
  </si>
  <si>
    <t>Poca funcionalidad en línea para el usuario final.</t>
  </si>
  <si>
    <t>Requiere funcionalidad en línea para el usuario final.</t>
  </si>
  <si>
    <t>Requerimientos de diseño especial de tareas para factores humanos.</t>
  </si>
  <si>
    <t>Volúmen de actualización bajo y facilmente recuperable.</t>
  </si>
  <si>
    <t>Volúmen de actualización medio protegiendo pérdida de datos.</t>
  </si>
  <si>
    <t>Requiere procedimientos de recuperación automáticos.</t>
  </si>
  <si>
    <t>Actualización en Línea</t>
  </si>
  <si>
    <t>Complejidad de Proceso.</t>
  </si>
  <si>
    <t>Proceso de registro (auditoria),</t>
  </si>
  <si>
    <t>Proceso lógico y/o matemático.</t>
  </si>
  <si>
    <t>Código reusable dentro de la misma aplicación.</t>
  </si>
  <si>
    <t>Código reusable en otras aplicaciones con poco mantenimiento.</t>
  </si>
  <si>
    <t>Código empacado para reuso con mantenimiento parametrizado.</t>
  </si>
  <si>
    <t>Proceso complejo, requiere multiples posibilidades de I/O.</t>
  </si>
  <si>
    <t>Proyecto</t>
  </si>
  <si>
    <t>Cliente</t>
  </si>
  <si>
    <t>Fecha</t>
  </si>
  <si>
    <t>del requerimiento. La hoja de cálculo automáticamente  aplicará el factor de complejidad de cada objeto</t>
  </si>
  <si>
    <t xml:space="preserve">desarrollaran para cada requerimiento esta estimación deberá estar basada en la especificación </t>
  </si>
  <si>
    <t>Puntos de Complejidad Estimados del proyecto</t>
  </si>
  <si>
    <t>Estimación del Tamaño del Software</t>
  </si>
  <si>
    <t>Criterios de Estimación</t>
  </si>
  <si>
    <t xml:space="preserve">A) Estime la cantidad estimada minima, promedio y maxima de objetos de Software (Código) que se </t>
  </si>
  <si>
    <t>B) En caso de ser un requerimiento sencillo con diseño ya conocido estime utilizando únicamnete la columna PROMEDIO</t>
  </si>
  <si>
    <t>C) Reproduzca esta Hoja por cada requerimiento del proyecto.</t>
  </si>
  <si>
    <t>D) Solo se deberá escribir en los espacios en blanco de la hoja de cálculo.</t>
  </si>
  <si>
    <t>NOTAS:</t>
  </si>
  <si>
    <t>E) En caso de tomar consideraciones especiales se deberán documentar en la  Sección de Críterios de la hoja de coplejidad</t>
  </si>
  <si>
    <t>Puntos Funcionales X Hora</t>
  </si>
  <si>
    <t>Factor de Productividad Estimado</t>
  </si>
  <si>
    <t>Factor de Ajuste de Complejidad del Proyecto</t>
  </si>
  <si>
    <t>Esfuerzo Estimado Por Factor de Productividad</t>
  </si>
  <si>
    <t>Factor Estimado de Productividad(FP)</t>
  </si>
  <si>
    <t>(Puntos Funcionales X Hora)</t>
  </si>
  <si>
    <t>(Horas Hombre)</t>
  </si>
  <si>
    <t>1.  Estime el factor de Ajuste de  complejidad del proyecto o producto de acuerdo a las siguientes características</t>
  </si>
  <si>
    <t>Generales del sistema</t>
  </si>
  <si>
    <t>Req.</t>
  </si>
  <si>
    <t>Simple</t>
  </si>
  <si>
    <t>Medio</t>
  </si>
  <si>
    <t>Complejo</t>
  </si>
  <si>
    <t>Puntos Factor de Complejidad</t>
  </si>
  <si>
    <t xml:space="preserve"> </t>
  </si>
  <si>
    <t>Total</t>
  </si>
  <si>
    <t>Esfuerzo Ajustado Por Factor de Complejidad</t>
  </si>
  <si>
    <t>No.</t>
  </si>
  <si>
    <t>Requerimientos</t>
  </si>
  <si>
    <t>Planificación</t>
  </si>
  <si>
    <t>Prueba</t>
  </si>
  <si>
    <t>Despliegue</t>
  </si>
  <si>
    <t>Administración de la Configuración</t>
  </si>
  <si>
    <t>Seguimiento y Supervisión</t>
  </si>
  <si>
    <t>Horas de Investigación</t>
  </si>
  <si>
    <t>Esfuerzo</t>
  </si>
  <si>
    <t>Estimación de Esfuerzo</t>
  </si>
  <si>
    <t>Estimación de Esfuerzo de Reqerimientos</t>
  </si>
  <si>
    <t>ESTIMACION DE ESFUERZO</t>
  </si>
  <si>
    <t>Nº</t>
  </si>
  <si>
    <t>Etapa</t>
  </si>
  <si>
    <t>EI</t>
  </si>
  <si>
    <t>%</t>
  </si>
  <si>
    <t>EC</t>
  </si>
  <si>
    <t>Análisis y Diseño</t>
  </si>
  <si>
    <t>Desarrollo</t>
  </si>
  <si>
    <t>Formato de Estimaciones</t>
  </si>
  <si>
    <t>Cliente: &lt;CLIENTE&gt;</t>
  </si>
  <si>
    <t>Proyecto: &lt;PROYECTO&gt;</t>
  </si>
  <si>
    <t>RIESGOS</t>
  </si>
  <si>
    <t>ESTRATEGIAS DE MITIGACIÓN</t>
  </si>
  <si>
    <t>PR</t>
  </si>
  <si>
    <t>IMP</t>
  </si>
  <si>
    <t>E</t>
  </si>
  <si>
    <t>COMP</t>
  </si>
  <si>
    <t>HS</t>
  </si>
  <si>
    <t>ESTRATEGIAS</t>
  </si>
  <si>
    <t>Algo</t>
  </si>
  <si>
    <t>Planilla de Precios</t>
  </si>
  <si>
    <t>PLANILLA DE PRECIOS</t>
  </si>
  <si>
    <t>HRS</t>
  </si>
  <si>
    <t>COSTO</t>
  </si>
  <si>
    <t>VENTA MERCADO</t>
  </si>
  <si>
    <t>TOTAL</t>
  </si>
  <si>
    <t>ETAPAS</t>
  </si>
  <si>
    <t>$/HR</t>
  </si>
  <si>
    <t>ADICIONALES</t>
  </si>
  <si>
    <t>$/HS</t>
  </si>
  <si>
    <t>No</t>
  </si>
  <si>
    <t>Total de Requerimientos</t>
  </si>
  <si>
    <t>Captura</t>
  </si>
  <si>
    <t>Catálogos (A,B,C)</t>
  </si>
  <si>
    <t>Pantallas</t>
  </si>
  <si>
    <t>Reportes</t>
  </si>
  <si>
    <t>Procesos</t>
  </si>
  <si>
    <t>Cálculo</t>
  </si>
  <si>
    <t>Importación</t>
  </si>
  <si>
    <t>Exportación</t>
  </si>
  <si>
    <t>Revisión</t>
  </si>
  <si>
    <t xml:space="preserve">Resumen del cambio </t>
  </si>
  <si>
    <t>Responsable del cambio</t>
  </si>
  <si>
    <t xml:space="preserve">Aprobó </t>
  </si>
  <si>
    <t>PA1</t>
  </si>
  <si>
    <t>Primer Propuesta</t>
  </si>
  <si>
    <t>Historial del Formato</t>
  </si>
  <si>
    <t>Hisorial del Proyecto</t>
  </si>
  <si>
    <r>
      <t>[</t>
    </r>
    <r>
      <rPr>
        <sz val="10"/>
        <color indexed="12"/>
        <rFont val="Arial"/>
        <family val="2"/>
      </rPr>
      <t>Capacitación interna</t>
    </r>
    <r>
      <rPr>
        <sz val="10"/>
        <rFont val="Arial"/>
        <family val="2"/>
      </rPr>
      <t>]</t>
    </r>
  </si>
  <si>
    <r>
      <t>[</t>
    </r>
    <r>
      <rPr>
        <sz val="10"/>
        <color indexed="12"/>
        <rFont val="Arial"/>
        <family val="2"/>
      </rPr>
      <t>Transferencia Tecnológica</t>
    </r>
    <r>
      <rPr>
        <sz val="10"/>
        <rFont val="Arial"/>
        <family val="2"/>
      </rPr>
      <t>]</t>
    </r>
  </si>
  <si>
    <r>
      <t>[</t>
    </r>
    <r>
      <rPr>
        <sz val="10"/>
        <color indexed="12"/>
        <rFont val="Arial"/>
        <family val="2"/>
      </rPr>
      <t>Relevamiento de Infraestructura</t>
    </r>
    <r>
      <rPr>
        <sz val="10"/>
        <rFont val="Arial"/>
        <family val="2"/>
      </rPr>
      <t>]</t>
    </r>
  </si>
  <si>
    <r>
      <t>[</t>
    </r>
    <r>
      <rPr>
        <sz val="10"/>
        <color indexed="12"/>
        <rFont val="Arial"/>
        <family val="2"/>
      </rPr>
      <t>Diseño Gráfico</t>
    </r>
    <r>
      <rPr>
        <sz val="10"/>
        <rFont val="Arial"/>
        <family val="2"/>
      </rPr>
      <t>]</t>
    </r>
  </si>
  <si>
    <r>
      <t>[</t>
    </r>
    <r>
      <rPr>
        <sz val="10"/>
        <color indexed="12"/>
        <rFont val="Arial"/>
        <family val="2"/>
      </rPr>
      <t>Viáticos</t>
    </r>
    <r>
      <rPr>
        <sz val="10"/>
        <rFont val="Arial"/>
        <family val="2"/>
      </rPr>
      <t>]</t>
    </r>
  </si>
  <si>
    <r>
      <t>[</t>
    </r>
    <r>
      <rPr>
        <sz val="10"/>
        <color indexed="12"/>
        <rFont val="Arial"/>
        <family val="2"/>
      </rPr>
      <t>Garantía</t>
    </r>
    <r>
      <rPr>
        <sz val="10"/>
        <rFont val="Arial"/>
        <family val="2"/>
      </rPr>
      <t>]</t>
    </r>
  </si>
  <si>
    <t>Bloom Café</t>
  </si>
  <si>
    <t>Sistema de Gestión de Pedidos</t>
  </si>
  <si>
    <t>Mauricio Ramos</t>
  </si>
  <si>
    <t>E-03 Seguimiento, cancelación y entrega de pedidos</t>
  </si>
  <si>
    <t>E-01 Consulta y personalización de productos</t>
  </si>
  <si>
    <t>E-02 Registro y gestión de pedidos</t>
  </si>
  <si>
    <t>E-04 Administración de productos y promociones</t>
  </si>
  <si>
    <t>E-05 Estadísticas de pedidos y ventas</t>
  </si>
  <si>
    <t>E-06 Administración de acceso y permisos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</si>
</sst>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&quot;$&quot;\ #,##0.00"/>
    <numFmt numFmtId="166" formatCode="[$$-2C0A]\ #,##0"/>
    <numFmt numFmtId="167" formatCode="[$$-80A]#,##0.00"/>
  </numFmts>
  <fonts count="39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8"/>
      <color indexed="13"/>
      <name val="Arial"/>
      <family val="2"/>
    </font>
    <font>
      <sz val="10"/>
      <color indexed="13"/>
      <name val="Arial"/>
      <family val="2"/>
    </font>
    <font>
      <b/>
      <sz val="10"/>
      <color indexed="13"/>
      <name val="Arial"/>
      <family val="2"/>
    </font>
    <font>
      <sz val="10"/>
      <name val="Arial"/>
      <family val="2"/>
    </font>
    <font>
      <sz val="8"/>
      <color indexed="81"/>
      <name val="Tahoma"/>
      <family val="2"/>
    </font>
    <font>
      <b/>
      <i/>
      <u/>
      <sz val="10"/>
      <name val="Arial"/>
      <family val="2"/>
    </font>
    <font>
      <b/>
      <i/>
      <sz val="10"/>
      <color indexed="13"/>
      <name val="Arial"/>
      <family val="2"/>
    </font>
    <font>
      <b/>
      <sz val="14"/>
      <color indexed="13"/>
      <name val="Arial"/>
      <family val="2"/>
    </font>
    <font>
      <sz val="8"/>
      <name val="Arial"/>
      <family val="2"/>
    </font>
    <font>
      <sz val="10"/>
      <name val="Verdana"/>
      <family val="2"/>
    </font>
    <font>
      <b/>
      <sz val="10"/>
      <color indexed="56"/>
      <name val="Verdana"/>
      <family val="2"/>
    </font>
    <font>
      <sz val="10"/>
      <color indexed="16"/>
      <name val="Verdana"/>
      <family val="2"/>
    </font>
    <font>
      <b/>
      <sz val="10"/>
      <color indexed="9"/>
      <name val="Verdana"/>
      <family val="2"/>
    </font>
    <font>
      <sz val="10"/>
      <color indexed="9"/>
      <name val="Verdana"/>
      <family val="2"/>
    </font>
    <font>
      <b/>
      <sz val="10"/>
      <color indexed="61"/>
      <name val="Verdana"/>
      <family val="2"/>
    </font>
    <font>
      <sz val="10"/>
      <color indexed="63"/>
      <name val="Verdana"/>
      <family val="2"/>
    </font>
    <font>
      <b/>
      <sz val="10"/>
      <name val="Verdana"/>
      <family val="2"/>
    </font>
    <font>
      <b/>
      <sz val="8"/>
      <color indexed="81"/>
      <name val="Tahoma"/>
      <family val="2"/>
    </font>
    <font>
      <b/>
      <sz val="10"/>
      <color indexed="8"/>
      <name val="Verdana"/>
      <family val="2"/>
    </font>
    <font>
      <b/>
      <u/>
      <sz val="10"/>
      <name val="Verdana"/>
      <family val="2"/>
    </font>
    <font>
      <sz val="10"/>
      <color indexed="9"/>
      <name val="Arial"/>
      <family val="2"/>
    </font>
    <font>
      <b/>
      <sz val="10"/>
      <color indexed="9"/>
      <name val="Arial"/>
      <family val="2"/>
    </font>
    <font>
      <b/>
      <sz val="12"/>
      <name val="Arial"/>
      <family val="2"/>
    </font>
    <font>
      <sz val="8"/>
      <name val="Arial"/>
    </font>
    <font>
      <sz val="10"/>
      <color indexed="10"/>
      <name val="Verdana"/>
      <family val="2"/>
    </font>
    <font>
      <sz val="10"/>
      <name val="Verdana"/>
      <family val="2"/>
    </font>
    <font>
      <sz val="10"/>
      <color indexed="16"/>
      <name val="Verdana"/>
      <family val="2"/>
    </font>
    <font>
      <b/>
      <sz val="10"/>
      <color indexed="56"/>
      <name val="Verdana"/>
      <family val="2"/>
    </font>
    <font>
      <b/>
      <sz val="12"/>
      <color indexed="56"/>
      <name val="Verdana"/>
      <family val="2"/>
    </font>
    <font>
      <b/>
      <sz val="10"/>
      <color indexed="9"/>
      <name val="Verdana"/>
      <family val="2"/>
    </font>
    <font>
      <b/>
      <sz val="10"/>
      <color indexed="16"/>
      <name val="Verdana"/>
      <family val="2"/>
    </font>
    <font>
      <b/>
      <sz val="10"/>
      <name val="Verdana"/>
      <family val="2"/>
    </font>
    <font>
      <sz val="10"/>
      <color indexed="12"/>
      <name val="Arial"/>
      <family val="2"/>
    </font>
    <font>
      <u/>
      <sz val="8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660066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0" tint="-0.249977111117893"/>
        <bgColor indexed="64"/>
      </patternFill>
    </fill>
  </fills>
  <borders count="7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 style="medium">
        <color indexed="64"/>
      </right>
      <top style="thin">
        <color indexed="9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9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9"/>
      </bottom>
      <diagonal/>
    </border>
    <border>
      <left/>
      <right/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/>
      <top style="thin">
        <color indexed="9"/>
      </top>
      <bottom style="thin">
        <color indexed="64"/>
      </bottom>
      <diagonal/>
    </border>
    <border>
      <left/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 style="thin">
        <color indexed="64"/>
      </left>
      <right style="thin">
        <color indexed="64"/>
      </right>
      <top/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9"/>
      </top>
      <bottom/>
      <diagonal/>
    </border>
    <border>
      <left/>
      <right style="medium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9"/>
      </bottom>
      <diagonal/>
    </border>
    <border>
      <left/>
      <right style="thin">
        <color indexed="64"/>
      </right>
      <top style="thin">
        <color indexed="64"/>
      </top>
      <bottom style="thin">
        <color indexed="9"/>
      </bottom>
      <diagonal/>
    </border>
    <border>
      <left/>
      <right style="medium">
        <color indexed="64"/>
      </right>
      <top style="thin">
        <color indexed="64"/>
      </top>
      <bottom style="thin">
        <color indexed="9"/>
      </bottom>
      <diagonal/>
    </border>
    <border>
      <left/>
      <right/>
      <top style="medium">
        <color indexed="64"/>
      </top>
      <bottom style="thin">
        <color indexed="9"/>
      </bottom>
      <diagonal/>
    </border>
    <border>
      <left/>
      <right style="medium">
        <color indexed="64"/>
      </right>
      <top style="medium">
        <color indexed="64"/>
      </top>
      <bottom style="thin">
        <color indexed="9"/>
      </bottom>
      <diagonal/>
    </border>
    <border>
      <left style="thin">
        <color indexed="64"/>
      </left>
      <right/>
      <top/>
      <bottom style="thin">
        <color indexed="9"/>
      </bottom>
      <diagonal/>
    </border>
    <border>
      <left/>
      <right style="thin">
        <color indexed="64"/>
      </right>
      <top/>
      <bottom style="thin">
        <color indexed="9"/>
      </bottom>
      <diagonal/>
    </border>
    <border>
      <left/>
      <right style="medium">
        <color indexed="64"/>
      </right>
      <top/>
      <bottom style="thin">
        <color indexed="9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299">
    <xf numFmtId="0" fontId="0" fillId="0" borderId="0" xfId="0"/>
    <xf numFmtId="0" fontId="4" fillId="0" borderId="0" xfId="0" applyFont="1"/>
    <xf numFmtId="0" fontId="4" fillId="2" borderId="1" xfId="0" applyFont="1" applyFill="1" applyBorder="1"/>
    <xf numFmtId="0" fontId="2" fillId="0" borderId="0" xfId="0" applyFont="1"/>
    <xf numFmtId="2" fontId="3" fillId="2" borderId="1" xfId="0" applyNumberFormat="1" applyFont="1" applyFill="1" applyBorder="1" applyAlignment="1">
      <alignment horizontal="center" vertical="center" wrapText="1"/>
    </xf>
    <xf numFmtId="2" fontId="4" fillId="0" borderId="0" xfId="0" applyNumberFormat="1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7" fillId="0" borderId="0" xfId="0" applyFont="1"/>
    <xf numFmtId="0" fontId="4" fillId="3" borderId="2" xfId="0" applyFont="1" applyFill="1" applyBorder="1"/>
    <xf numFmtId="0" fontId="4" fillId="3" borderId="0" xfId="0" applyFont="1" applyFill="1"/>
    <xf numFmtId="0" fontId="5" fillId="4" borderId="0" xfId="0" applyFont="1" applyFill="1"/>
    <xf numFmtId="0" fontId="6" fillId="5" borderId="2" xfId="0" applyFont="1" applyFill="1" applyBorder="1"/>
    <xf numFmtId="0" fontId="8" fillId="5" borderId="2" xfId="0" applyFont="1" applyFill="1" applyBorder="1"/>
    <xf numFmtId="0" fontId="8" fillId="5" borderId="3" xfId="0" applyFont="1" applyFill="1" applyBorder="1"/>
    <xf numFmtId="0" fontId="4" fillId="2" borderId="0" xfId="0" applyFont="1" applyFill="1"/>
    <xf numFmtId="0" fontId="4" fillId="2" borderId="4" xfId="0" applyFont="1" applyFill="1" applyBorder="1" applyAlignment="1">
      <alignment horizontal="center"/>
    </xf>
    <xf numFmtId="0" fontId="4" fillId="2" borderId="4" xfId="0" applyFont="1" applyFill="1" applyBorder="1"/>
    <xf numFmtId="0" fontId="4" fillId="3" borderId="5" xfId="0" applyFont="1" applyFill="1" applyBorder="1" applyAlignment="1">
      <alignment horizontal="center"/>
    </xf>
    <xf numFmtId="0" fontId="4" fillId="3" borderId="5" xfId="0" applyFont="1" applyFill="1" applyBorder="1"/>
    <xf numFmtId="0" fontId="3" fillId="0" borderId="0" xfId="0" applyFont="1"/>
    <xf numFmtId="0" fontId="0" fillId="0" borderId="6" xfId="0" applyBorder="1"/>
    <xf numFmtId="0" fontId="0" fillId="0" borderId="7" xfId="0" applyBorder="1"/>
    <xf numFmtId="0" fontId="6" fillId="0" borderId="8" xfId="0" applyFont="1" applyBorder="1"/>
    <xf numFmtId="0" fontId="0" fillId="0" borderId="9" xfId="0" applyBorder="1"/>
    <xf numFmtId="0" fontId="8" fillId="0" borderId="8" xfId="0" applyFont="1" applyBorder="1"/>
    <xf numFmtId="0" fontId="0" fillId="0" borderId="10" xfId="0" applyBorder="1"/>
    <xf numFmtId="0" fontId="8" fillId="0" borderId="11" xfId="0" applyFont="1" applyBorder="1"/>
    <xf numFmtId="2" fontId="3" fillId="2" borderId="12" xfId="0" applyNumberFormat="1" applyFont="1" applyFill="1" applyBorder="1" applyAlignment="1">
      <alignment horizontal="center" vertical="center" wrapText="1"/>
    </xf>
    <xf numFmtId="0" fontId="4" fillId="3" borderId="13" xfId="0" applyFont="1" applyFill="1" applyBorder="1"/>
    <xf numFmtId="0" fontId="4" fillId="2" borderId="14" xfId="0" applyFont="1" applyFill="1" applyBorder="1"/>
    <xf numFmtId="0" fontId="10" fillId="0" borderId="0" xfId="0" applyFont="1"/>
    <xf numFmtId="0" fontId="0" fillId="0" borderId="15" xfId="0" applyBorder="1"/>
    <xf numFmtId="0" fontId="0" fillId="0" borderId="16" xfId="0" applyBorder="1"/>
    <xf numFmtId="0" fontId="3" fillId="2" borderId="12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4" fillId="3" borderId="18" xfId="0" applyFont="1" applyFill="1" applyBorder="1"/>
    <xf numFmtId="0" fontId="4" fillId="3" borderId="19" xfId="0" applyFont="1" applyFill="1" applyBorder="1"/>
    <xf numFmtId="0" fontId="4" fillId="0" borderId="14" xfId="0" applyFont="1" applyBorder="1"/>
    <xf numFmtId="0" fontId="4" fillId="0" borderId="8" xfId="0" applyFont="1" applyBorder="1"/>
    <xf numFmtId="0" fontId="4" fillId="3" borderId="14" xfId="0" applyFont="1" applyFill="1" applyBorder="1"/>
    <xf numFmtId="0" fontId="4" fillId="3" borderId="8" xfId="0" applyFont="1" applyFill="1" applyBorder="1"/>
    <xf numFmtId="0" fontId="5" fillId="4" borderId="14" xfId="0" applyFont="1" applyFill="1" applyBorder="1"/>
    <xf numFmtId="0" fontId="5" fillId="4" borderId="8" xfId="0" applyFont="1" applyFill="1" applyBorder="1"/>
    <xf numFmtId="0" fontId="7" fillId="4" borderId="20" xfId="0" applyFont="1" applyFill="1" applyBorder="1"/>
    <xf numFmtId="0" fontId="7" fillId="4" borderId="21" xfId="0" applyFont="1" applyFill="1" applyBorder="1"/>
    <xf numFmtId="2" fontId="7" fillId="4" borderId="11" xfId="0" applyNumberFormat="1" applyFont="1" applyFill="1" applyBorder="1"/>
    <xf numFmtId="49" fontId="0" fillId="0" borderId="0" xfId="0" applyNumberFormat="1" applyAlignment="1">
      <alignment horizontal="center" vertical="center" wrapText="1"/>
    </xf>
    <xf numFmtId="0" fontId="0" fillId="0" borderId="14" xfId="0" applyBorder="1"/>
    <xf numFmtId="0" fontId="0" fillId="0" borderId="8" xfId="0" applyBorder="1"/>
    <xf numFmtId="0" fontId="0" fillId="0" borderId="20" xfId="0" applyBorder="1"/>
    <xf numFmtId="0" fontId="0" fillId="0" borderId="21" xfId="0" applyBorder="1"/>
    <xf numFmtId="0" fontId="0" fillId="0" borderId="11" xfId="0" applyBorder="1"/>
    <xf numFmtId="0" fontId="11" fillId="4" borderId="0" xfId="0" applyFont="1" applyFill="1" applyAlignment="1">
      <alignment horizontal="center" vertical="center" wrapText="1"/>
    </xf>
    <xf numFmtId="49" fontId="8" fillId="5" borderId="22" xfId="0" applyNumberFormat="1" applyFont="1" applyFill="1" applyBorder="1"/>
    <xf numFmtId="49" fontId="6" fillId="5" borderId="2" xfId="0" applyNumberFormat="1" applyFont="1" applyFill="1" applyBorder="1"/>
    <xf numFmtId="49" fontId="8" fillId="5" borderId="2" xfId="0" applyNumberFormat="1" applyFont="1" applyFill="1" applyBorder="1"/>
    <xf numFmtId="4" fontId="2" fillId="0" borderId="23" xfId="0" applyNumberFormat="1" applyFont="1" applyBorder="1" applyAlignment="1">
      <alignment horizontal="center" vertical="center" wrapText="1"/>
    </xf>
    <xf numFmtId="0" fontId="8" fillId="0" borderId="0" xfId="0" applyFont="1"/>
    <xf numFmtId="0" fontId="0" fillId="0" borderId="23" xfId="0" applyBorder="1"/>
    <xf numFmtId="49" fontId="8" fillId="5" borderId="25" xfId="0" applyNumberFormat="1" applyFont="1" applyFill="1" applyBorder="1"/>
    <xf numFmtId="0" fontId="8" fillId="5" borderId="25" xfId="0" applyFont="1" applyFill="1" applyBorder="1"/>
    <xf numFmtId="0" fontId="8" fillId="5" borderId="26" xfId="0" applyFont="1" applyFill="1" applyBorder="1"/>
    <xf numFmtId="0" fontId="8" fillId="4" borderId="0" xfId="0" applyFont="1" applyFill="1"/>
    <xf numFmtId="0" fontId="4" fillId="2" borderId="27" xfId="0" applyFont="1" applyFill="1" applyBorder="1"/>
    <xf numFmtId="0" fontId="7" fillId="4" borderId="24" xfId="0" applyFont="1" applyFill="1" applyBorder="1"/>
    <xf numFmtId="0" fontId="8" fillId="4" borderId="26" xfId="0" applyFont="1" applyFill="1" applyBorder="1"/>
    <xf numFmtId="0" fontId="7" fillId="4" borderId="21" xfId="0" applyFont="1" applyFill="1" applyBorder="1" applyAlignment="1">
      <alignment horizontal="left"/>
    </xf>
    <xf numFmtId="0" fontId="7" fillId="4" borderId="21" xfId="0" applyFont="1" applyFill="1" applyBorder="1" applyAlignment="1">
      <alignment horizontal="center"/>
    </xf>
    <xf numFmtId="0" fontId="7" fillId="4" borderId="28" xfId="0" applyFont="1" applyFill="1" applyBorder="1"/>
    <xf numFmtId="0" fontId="7" fillId="4" borderId="29" xfId="0" applyFont="1" applyFill="1" applyBorder="1"/>
    <xf numFmtId="0" fontId="7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8" fillId="4" borderId="25" xfId="0" applyFont="1" applyFill="1" applyBorder="1"/>
    <xf numFmtId="0" fontId="7" fillId="4" borderId="25" xfId="0" applyFont="1" applyFill="1" applyBorder="1" applyAlignment="1">
      <alignment horizontal="center"/>
    </xf>
    <xf numFmtId="0" fontId="6" fillId="4" borderId="25" xfId="0" applyFont="1" applyFill="1" applyBorder="1"/>
    <xf numFmtId="0" fontId="6" fillId="0" borderId="0" xfId="0" applyFont="1"/>
    <xf numFmtId="1" fontId="7" fillId="4" borderId="30" xfId="0" applyNumberFormat="1" applyFont="1" applyFill="1" applyBorder="1"/>
    <xf numFmtId="1" fontId="7" fillId="4" borderId="31" xfId="0" applyNumberFormat="1" applyFont="1" applyFill="1" applyBorder="1"/>
    <xf numFmtId="1" fontId="7" fillId="4" borderId="32" xfId="0" applyNumberFormat="1" applyFont="1" applyFill="1" applyBorder="1"/>
    <xf numFmtId="0" fontId="7" fillId="4" borderId="25" xfId="0" applyFont="1" applyFill="1" applyBorder="1"/>
    <xf numFmtId="1" fontId="7" fillId="4" borderId="33" xfId="0" applyNumberFormat="1" applyFont="1" applyFill="1" applyBorder="1"/>
    <xf numFmtId="4" fontId="7" fillId="4" borderId="25" xfId="0" applyNumberFormat="1" applyFont="1" applyFill="1" applyBorder="1" applyAlignment="1">
      <alignment horizontal="center"/>
    </xf>
    <xf numFmtId="0" fontId="14" fillId="0" borderId="0" xfId="0" applyFont="1"/>
    <xf numFmtId="2" fontId="14" fillId="0" borderId="0" xfId="0" applyNumberFormat="1" applyFont="1"/>
    <xf numFmtId="0" fontId="15" fillId="0" borderId="34" xfId="0" applyFont="1" applyBorder="1"/>
    <xf numFmtId="0" fontId="16" fillId="0" borderId="34" xfId="0" applyFont="1" applyBorder="1"/>
    <xf numFmtId="2" fontId="15" fillId="0" borderId="34" xfId="0" applyNumberFormat="1" applyFont="1" applyBorder="1" applyAlignment="1">
      <alignment horizontal="right"/>
    </xf>
    <xf numFmtId="0" fontId="17" fillId="6" borderId="15" xfId="0" applyFont="1" applyFill="1" applyBorder="1" applyAlignment="1">
      <alignment horizontal="center"/>
    </xf>
    <xf numFmtId="0" fontId="17" fillId="6" borderId="16" xfId="0" applyFont="1" applyFill="1" applyBorder="1" applyAlignment="1">
      <alignment horizontal="center"/>
    </xf>
    <xf numFmtId="2" fontId="17" fillId="6" borderId="6" xfId="0" applyNumberFormat="1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14" xfId="0" applyFont="1" applyBorder="1"/>
    <xf numFmtId="0" fontId="14" fillId="0" borderId="0" xfId="0" applyFont="1" applyAlignment="1">
      <alignment wrapText="1"/>
    </xf>
    <xf numFmtId="4" fontId="20" fillId="2" borderId="8" xfId="0" applyNumberFormat="1" applyFont="1" applyFill="1" applyBorder="1"/>
    <xf numFmtId="0" fontId="14" fillId="0" borderId="20" xfId="0" applyFont="1" applyBorder="1"/>
    <xf numFmtId="0" fontId="14" fillId="0" borderId="21" xfId="0" applyFont="1" applyBorder="1" applyAlignment="1">
      <alignment wrapText="1"/>
    </xf>
    <xf numFmtId="4" fontId="20" fillId="2" borderId="11" xfId="0" applyNumberFormat="1" applyFont="1" applyFill="1" applyBorder="1"/>
    <xf numFmtId="0" fontId="14" fillId="0" borderId="15" xfId="0" applyFont="1" applyBorder="1"/>
    <xf numFmtId="0" fontId="14" fillId="0" borderId="16" xfId="0" applyFont="1" applyBorder="1" applyAlignment="1">
      <alignment wrapText="1"/>
    </xf>
    <xf numFmtId="4" fontId="20" fillId="2" borderId="6" xfId="0" applyNumberFormat="1" applyFont="1" applyFill="1" applyBorder="1"/>
    <xf numFmtId="4" fontId="19" fillId="7" borderId="26" xfId="0" applyNumberFormat="1" applyFont="1" applyFill="1" applyBorder="1"/>
    <xf numFmtId="0" fontId="16" fillId="0" borderId="0" xfId="0" applyFont="1"/>
    <xf numFmtId="0" fontId="23" fillId="2" borderId="35" xfId="0" applyFont="1" applyFill="1" applyBorder="1" applyAlignment="1">
      <alignment horizontal="center"/>
    </xf>
    <xf numFmtId="0" fontId="21" fillId="2" borderId="36" xfId="0" applyFont="1" applyFill="1" applyBorder="1" applyAlignment="1">
      <alignment horizontal="right"/>
    </xf>
    <xf numFmtId="10" fontId="21" fillId="2" borderId="36" xfId="0" applyNumberFormat="1" applyFont="1" applyFill="1" applyBorder="1" applyAlignment="1">
      <alignment horizontal="right"/>
    </xf>
    <xf numFmtId="4" fontId="21" fillId="2" borderId="23" xfId="0" applyNumberFormat="1" applyFont="1" applyFill="1" applyBorder="1" applyAlignment="1">
      <alignment horizontal="right"/>
    </xf>
    <xf numFmtId="0" fontId="17" fillId="7" borderId="9" xfId="0" applyFont="1" applyFill="1" applyBorder="1" applyAlignment="1">
      <alignment horizontal="center"/>
    </xf>
    <xf numFmtId="0" fontId="17" fillId="7" borderId="5" xfId="0" applyFont="1" applyFill="1" applyBorder="1" applyAlignment="1">
      <alignment horizontal="left"/>
    </xf>
    <xf numFmtId="0" fontId="17" fillId="7" borderId="5" xfId="0" applyFont="1" applyFill="1" applyBorder="1" applyAlignment="1">
      <alignment horizontal="center"/>
    </xf>
    <xf numFmtId="0" fontId="17" fillId="7" borderId="37" xfId="0" applyFont="1" applyFill="1" applyBorder="1" applyAlignment="1">
      <alignment horizontal="center"/>
    </xf>
    <xf numFmtId="0" fontId="14" fillId="0" borderId="14" xfId="0" applyFont="1" applyBorder="1" applyAlignment="1">
      <alignment horizontal="center"/>
    </xf>
    <xf numFmtId="2" fontId="14" fillId="2" borderId="0" xfId="0" applyNumberFormat="1" applyFont="1" applyFill="1" applyAlignment="1">
      <alignment horizontal="center"/>
    </xf>
    <xf numFmtId="10" fontId="14" fillId="0" borderId="0" xfId="0" applyNumberFormat="1" applyFont="1" applyAlignment="1">
      <alignment horizontal="right"/>
    </xf>
    <xf numFmtId="4" fontId="14" fillId="2" borderId="8" xfId="0" applyNumberFormat="1" applyFont="1" applyFill="1" applyBorder="1" applyAlignment="1">
      <alignment horizontal="right"/>
    </xf>
    <xf numFmtId="0" fontId="14" fillId="0" borderId="20" xfId="0" applyFont="1" applyBorder="1" applyAlignment="1">
      <alignment horizontal="center"/>
    </xf>
    <xf numFmtId="0" fontId="14" fillId="0" borderId="21" xfId="0" applyFont="1" applyBorder="1"/>
    <xf numFmtId="0" fontId="14" fillId="2" borderId="21" xfId="0" applyFont="1" applyFill="1" applyBorder="1"/>
    <xf numFmtId="10" fontId="14" fillId="0" borderId="21" xfId="0" applyNumberFormat="1" applyFont="1" applyBorder="1"/>
    <xf numFmtId="4" fontId="14" fillId="2" borderId="11" xfId="0" applyNumberFormat="1" applyFont="1" applyFill="1" applyBorder="1" applyAlignment="1">
      <alignment horizontal="right"/>
    </xf>
    <xf numFmtId="0" fontId="17" fillId="0" borderId="0" xfId="0" applyFont="1" applyAlignment="1">
      <alignment horizontal="left"/>
    </xf>
    <xf numFmtId="0" fontId="18" fillId="0" borderId="0" xfId="0" applyFont="1" applyAlignment="1">
      <alignment horizontal="center" vertical="center" wrapText="1"/>
    </xf>
    <xf numFmtId="0" fontId="14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14" fillId="0" borderId="34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7" fillId="7" borderId="38" xfId="0" applyFont="1" applyFill="1" applyBorder="1" applyAlignment="1">
      <alignment horizontal="left"/>
    </xf>
    <xf numFmtId="2" fontId="21" fillId="8" borderId="14" xfId="0" applyNumberFormat="1" applyFont="1" applyFill="1" applyBorder="1" applyAlignment="1">
      <alignment horizontal="center"/>
    </xf>
    <xf numFmtId="2" fontId="17" fillId="8" borderId="0" xfId="0" applyNumberFormat="1" applyFont="1" applyFill="1" applyAlignment="1">
      <alignment horizontal="right"/>
    </xf>
    <xf numFmtId="2" fontId="17" fillId="8" borderId="8" xfId="0" applyNumberFormat="1" applyFont="1" applyFill="1" applyBorder="1" applyAlignment="1">
      <alignment horizontal="center"/>
    </xf>
    <xf numFmtId="0" fontId="14" fillId="8" borderId="39" xfId="0" applyFont="1" applyFill="1" applyBorder="1"/>
    <xf numFmtId="2" fontId="21" fillId="2" borderId="40" xfId="0" applyNumberFormat="1" applyFont="1" applyFill="1" applyBorder="1" applyAlignment="1">
      <alignment horizontal="center"/>
    </xf>
    <xf numFmtId="2" fontId="21" fillId="2" borderId="41" xfId="0" applyNumberFormat="1" applyFont="1" applyFill="1" applyBorder="1" applyAlignment="1">
      <alignment horizontal="left"/>
    </xf>
    <xf numFmtId="2" fontId="21" fillId="2" borderId="41" xfId="0" applyNumberFormat="1" applyFont="1" applyFill="1" applyBorder="1" applyAlignment="1">
      <alignment horizontal="center"/>
    </xf>
    <xf numFmtId="2" fontId="21" fillId="2" borderId="42" xfId="0" applyNumberFormat="1" applyFont="1" applyFill="1" applyBorder="1" applyAlignment="1">
      <alignment horizontal="center"/>
    </xf>
    <xf numFmtId="0" fontId="21" fillId="2" borderId="43" xfId="0" applyFont="1" applyFill="1" applyBorder="1" applyAlignment="1">
      <alignment horizontal="left"/>
    </xf>
    <xf numFmtId="1" fontId="14" fillId="0" borderId="14" xfId="0" applyNumberFormat="1" applyFont="1" applyBorder="1" applyAlignment="1">
      <alignment horizontal="center"/>
    </xf>
    <xf numFmtId="10" fontId="14" fillId="0" borderId="0" xfId="3" applyNumberFormat="1" applyFont="1" applyBorder="1" applyAlignment="1">
      <alignment horizontal="right"/>
    </xf>
    <xf numFmtId="10" fontId="17" fillId="2" borderId="0" xfId="3" applyNumberFormat="1" applyFont="1" applyFill="1" applyBorder="1" applyAlignment="1">
      <alignment horizontal="right"/>
    </xf>
    <xf numFmtId="2" fontId="14" fillId="0" borderId="0" xfId="3" applyNumberFormat="1" applyFont="1" applyBorder="1" applyAlignment="1">
      <alignment horizontal="right"/>
    </xf>
    <xf numFmtId="2" fontId="17" fillId="2" borderId="8" xfId="0" applyNumberFormat="1" applyFont="1" applyFill="1" applyBorder="1" applyAlignment="1">
      <alignment horizontal="right"/>
    </xf>
    <xf numFmtId="0" fontId="14" fillId="0" borderId="39" xfId="0" applyFont="1" applyBorder="1" applyAlignment="1">
      <alignment wrapText="1"/>
    </xf>
    <xf numFmtId="1" fontId="14" fillId="0" borderId="20" xfId="0" applyNumberFormat="1" applyFont="1" applyBorder="1" applyAlignment="1">
      <alignment horizontal="center"/>
    </xf>
    <xf numFmtId="10" fontId="14" fillId="0" borderId="21" xfId="3" applyNumberFormat="1" applyFont="1" applyBorder="1" applyAlignment="1">
      <alignment horizontal="right"/>
    </xf>
    <xf numFmtId="10" fontId="17" fillId="2" borderId="21" xfId="3" applyNumberFormat="1" applyFont="1" applyFill="1" applyBorder="1" applyAlignment="1">
      <alignment horizontal="right"/>
    </xf>
    <xf numFmtId="2" fontId="14" fillId="0" borderId="21" xfId="3" applyNumberFormat="1" applyFont="1" applyBorder="1" applyAlignment="1">
      <alignment horizontal="right"/>
    </xf>
    <xf numFmtId="2" fontId="17" fillId="2" borderId="11" xfId="0" applyNumberFormat="1" applyFont="1" applyFill="1" applyBorder="1" applyAlignment="1">
      <alignment horizontal="right"/>
    </xf>
    <xf numFmtId="0" fontId="14" fillId="0" borderId="44" xfId="0" applyFont="1" applyBorder="1" applyAlignment="1">
      <alignment wrapText="1"/>
    </xf>
    <xf numFmtId="0" fontId="24" fillId="0" borderId="0" xfId="0" applyFont="1"/>
    <xf numFmtId="1" fontId="12" fillId="4" borderId="32" xfId="0" applyNumberFormat="1" applyFont="1" applyFill="1" applyBorder="1"/>
    <xf numFmtId="0" fontId="0" fillId="0" borderId="1" xfId="0" applyBorder="1" applyAlignment="1">
      <alignment wrapText="1"/>
    </xf>
    <xf numFmtId="0" fontId="14" fillId="0" borderId="1" xfId="0" applyFont="1" applyBorder="1" applyAlignment="1">
      <alignment wrapText="1"/>
    </xf>
    <xf numFmtId="10" fontId="0" fillId="0" borderId="1" xfId="0" applyNumberFormat="1" applyBorder="1"/>
    <xf numFmtId="0" fontId="26" fillId="6" borderId="1" xfId="2" applyFont="1" applyFill="1" applyBorder="1" applyAlignment="1">
      <alignment horizontal="center" vertical="center"/>
    </xf>
    <xf numFmtId="0" fontId="8" fillId="9" borderId="0" xfId="2" applyFont="1" applyFill="1"/>
    <xf numFmtId="0" fontId="8" fillId="9" borderId="1" xfId="2" applyFont="1" applyFill="1" applyBorder="1" applyAlignment="1">
      <alignment wrapText="1"/>
    </xf>
    <xf numFmtId="0" fontId="8" fillId="9" borderId="0" xfId="2" applyFont="1" applyFill="1" applyAlignment="1">
      <alignment wrapText="1"/>
    </xf>
    <xf numFmtId="14" fontId="8" fillId="9" borderId="1" xfId="2" applyNumberFormat="1" applyFont="1" applyFill="1" applyBorder="1" applyAlignment="1">
      <alignment wrapText="1"/>
    </xf>
    <xf numFmtId="0" fontId="27" fillId="9" borderId="0" xfId="2" applyFont="1" applyFill="1"/>
    <xf numFmtId="0" fontId="29" fillId="0" borderId="0" xfId="0" applyFont="1"/>
    <xf numFmtId="0" fontId="30" fillId="0" borderId="0" xfId="0" applyFont="1"/>
    <xf numFmtId="0" fontId="31" fillId="0" borderId="0" xfId="0" applyFont="1"/>
    <xf numFmtId="0" fontId="32" fillId="0" borderId="0" xfId="0" applyFont="1" applyAlignment="1">
      <alignment horizontal="right"/>
    </xf>
    <xf numFmtId="4" fontId="30" fillId="0" borderId="0" xfId="0" applyNumberFormat="1" applyFont="1"/>
    <xf numFmtId="0" fontId="33" fillId="0" borderId="34" xfId="0" applyFont="1" applyBorder="1"/>
    <xf numFmtId="0" fontId="31" fillId="0" borderId="34" xfId="0" applyFont="1" applyBorder="1"/>
    <xf numFmtId="0" fontId="32" fillId="0" borderId="34" xfId="0" applyFont="1" applyBorder="1" applyAlignment="1">
      <alignment horizontal="right"/>
    </xf>
    <xf numFmtId="2" fontId="34" fillId="7" borderId="40" xfId="0" applyNumberFormat="1" applyFont="1" applyFill="1" applyBorder="1" applyAlignment="1">
      <alignment horizontal="center"/>
    </xf>
    <xf numFmtId="2" fontId="34" fillId="7" borderId="41" xfId="0" applyNumberFormat="1" applyFont="1" applyFill="1" applyBorder="1" applyAlignment="1">
      <alignment horizontal="left"/>
    </xf>
    <xf numFmtId="2" fontId="34" fillId="7" borderId="45" xfId="0" applyNumberFormat="1" applyFont="1" applyFill="1" applyBorder="1" applyAlignment="1">
      <alignment horizontal="center" vertical="center"/>
    </xf>
    <xf numFmtId="2" fontId="35" fillId="2" borderId="7" xfId="0" applyNumberFormat="1" applyFont="1" applyFill="1" applyBorder="1" applyAlignment="1">
      <alignment horizontal="center"/>
    </xf>
    <xf numFmtId="2" fontId="35" fillId="2" borderId="34" xfId="0" applyNumberFormat="1" applyFont="1" applyFill="1" applyBorder="1" applyAlignment="1">
      <alignment horizontal="left"/>
    </xf>
    <xf numFmtId="4" fontId="35" fillId="2" borderId="4" xfId="0" applyNumberFormat="1" applyFont="1" applyFill="1" applyBorder="1" applyAlignment="1">
      <alignment horizontal="center"/>
    </xf>
    <xf numFmtId="166" fontId="30" fillId="0" borderId="0" xfId="0" applyNumberFormat="1" applyFont="1"/>
    <xf numFmtId="2" fontId="36" fillId="7" borderId="14" xfId="0" applyNumberFormat="1" applyFont="1" applyFill="1" applyBorder="1" applyAlignment="1">
      <alignment horizontal="center"/>
    </xf>
    <xf numFmtId="2" fontId="36" fillId="7" borderId="0" xfId="0" applyNumberFormat="1" applyFont="1" applyFill="1" applyAlignment="1">
      <alignment horizontal="left"/>
    </xf>
    <xf numFmtId="1" fontId="36" fillId="7" borderId="46" xfId="0" applyNumberFormat="1" applyFont="1" applyFill="1" applyBorder="1" applyAlignment="1">
      <alignment horizontal="right"/>
    </xf>
    <xf numFmtId="2" fontId="35" fillId="2" borderId="47" xfId="0" applyNumberFormat="1" applyFont="1" applyFill="1" applyBorder="1" applyAlignment="1">
      <alignment horizontal="center"/>
    </xf>
    <xf numFmtId="2" fontId="36" fillId="2" borderId="48" xfId="0" applyNumberFormat="1" applyFont="1" applyFill="1" applyBorder="1" applyAlignment="1">
      <alignment horizontal="left"/>
    </xf>
    <xf numFmtId="4" fontId="36" fillId="2" borderId="49" xfId="0" applyNumberFormat="1" applyFont="1" applyFill="1" applyBorder="1" applyAlignment="1">
      <alignment horizontal="center"/>
    </xf>
    <xf numFmtId="2" fontId="34" fillId="7" borderId="45" xfId="0" applyNumberFormat="1" applyFont="1" applyFill="1" applyBorder="1" applyAlignment="1">
      <alignment horizontal="center"/>
    </xf>
    <xf numFmtId="2" fontId="34" fillId="7" borderId="50" xfId="0" applyNumberFormat="1" applyFont="1" applyFill="1" applyBorder="1" applyAlignment="1">
      <alignment horizontal="center"/>
    </xf>
    <xf numFmtId="2" fontId="34" fillId="7" borderId="51" xfId="0" applyNumberFormat="1" applyFont="1" applyFill="1" applyBorder="1" applyAlignment="1">
      <alignment horizontal="center"/>
    </xf>
    <xf numFmtId="2" fontId="34" fillId="7" borderId="42" xfId="0" applyNumberFormat="1" applyFont="1" applyFill="1" applyBorder="1" applyAlignment="1">
      <alignment horizontal="center"/>
    </xf>
    <xf numFmtId="0" fontId="30" fillId="10" borderId="0" xfId="0" applyFont="1" applyFill="1"/>
    <xf numFmtId="0" fontId="30" fillId="0" borderId="18" xfId="0" applyFont="1" applyBorder="1"/>
    <xf numFmtId="4" fontId="30" fillId="2" borderId="46" xfId="0" applyNumberFormat="1" applyFont="1" applyFill="1" applyBorder="1" applyAlignment="1">
      <alignment horizontal="right"/>
    </xf>
    <xf numFmtId="167" fontId="30" fillId="0" borderId="52" xfId="0" applyNumberFormat="1" applyFont="1" applyBorder="1" applyAlignment="1">
      <alignment horizontal="right"/>
    </xf>
    <xf numFmtId="167" fontId="30" fillId="2" borderId="53" xfId="0" applyNumberFormat="1" applyFont="1" applyFill="1" applyBorder="1"/>
    <xf numFmtId="167" fontId="30" fillId="0" borderId="0" xfId="0" applyNumberFormat="1" applyFont="1"/>
    <xf numFmtId="167" fontId="30" fillId="2" borderId="8" xfId="0" applyNumberFormat="1" applyFont="1" applyFill="1" applyBorder="1"/>
    <xf numFmtId="0" fontId="30" fillId="11" borderId="0" xfId="0" applyFont="1" applyFill="1"/>
    <xf numFmtId="0" fontId="30" fillId="0" borderId="14" xfId="0" applyFont="1" applyBorder="1"/>
    <xf numFmtId="0" fontId="30" fillId="12" borderId="0" xfId="0" applyFont="1" applyFill="1"/>
    <xf numFmtId="0" fontId="30" fillId="13" borderId="0" xfId="0" applyFont="1" applyFill="1"/>
    <xf numFmtId="0" fontId="30" fillId="14" borderId="0" xfId="0" applyFont="1" applyFill="1"/>
    <xf numFmtId="0" fontId="30" fillId="15" borderId="0" xfId="0" applyFont="1" applyFill="1"/>
    <xf numFmtId="0" fontId="30" fillId="16" borderId="0" xfId="0" applyFont="1" applyFill="1"/>
    <xf numFmtId="0" fontId="30" fillId="17" borderId="0" xfId="0" applyFont="1" applyFill="1"/>
    <xf numFmtId="1" fontId="30" fillId="0" borderId="20" xfId="0" applyNumberFormat="1" applyFont="1" applyBorder="1" applyAlignment="1">
      <alignment horizontal="center"/>
    </xf>
    <xf numFmtId="2" fontId="30" fillId="0" borderId="21" xfId="0" applyNumberFormat="1" applyFont="1" applyBorder="1" applyAlignment="1">
      <alignment wrapText="1"/>
    </xf>
    <xf numFmtId="4" fontId="30" fillId="2" borderId="54" xfId="0" applyNumberFormat="1" applyFont="1" applyFill="1" applyBorder="1"/>
    <xf numFmtId="167" fontId="30" fillId="0" borderId="54" xfId="0" applyNumberFormat="1" applyFont="1" applyBorder="1"/>
    <xf numFmtId="167" fontId="30" fillId="2" borderId="55" xfId="0" applyNumberFormat="1" applyFont="1" applyFill="1" applyBorder="1"/>
    <xf numFmtId="167" fontId="30" fillId="2" borderId="11" xfId="0" applyNumberFormat="1" applyFont="1" applyFill="1" applyBorder="1"/>
    <xf numFmtId="2" fontId="35" fillId="2" borderId="56" xfId="0" applyNumberFormat="1" applyFont="1" applyFill="1" applyBorder="1" applyAlignment="1">
      <alignment horizontal="center"/>
    </xf>
    <xf numFmtId="2" fontId="36" fillId="2" borderId="57" xfId="0" applyNumberFormat="1" applyFont="1" applyFill="1" applyBorder="1" applyAlignment="1">
      <alignment horizontal="left"/>
    </xf>
    <xf numFmtId="2" fontId="36" fillId="2" borderId="58" xfId="0" applyNumberFormat="1" applyFont="1" applyFill="1" applyBorder="1" applyAlignment="1">
      <alignment horizontal="center"/>
    </xf>
    <xf numFmtId="2" fontId="34" fillId="8" borderId="40" xfId="0" applyNumberFormat="1" applyFont="1" applyFill="1" applyBorder="1" applyAlignment="1">
      <alignment horizontal="center"/>
    </xf>
    <xf numFmtId="1" fontId="30" fillId="0" borderId="18" xfId="0" applyNumberFormat="1" applyFont="1" applyBorder="1" applyAlignment="1">
      <alignment horizontal="center"/>
    </xf>
    <xf numFmtId="2" fontId="30" fillId="0" borderId="2" xfId="0" applyNumberFormat="1" applyFont="1" applyBorder="1" applyAlignment="1">
      <alignment wrapText="1"/>
    </xf>
    <xf numFmtId="2" fontId="30" fillId="0" borderId="59" xfId="0" applyNumberFormat="1" applyFont="1" applyBorder="1" applyAlignment="1">
      <alignment horizontal="right"/>
    </xf>
    <xf numFmtId="167" fontId="30" fillId="0" borderId="22" xfId="1" applyNumberFormat="1" applyFont="1" applyBorder="1" applyAlignment="1">
      <alignment horizontal="right"/>
    </xf>
    <xf numFmtId="167" fontId="30" fillId="2" borderId="3" xfId="0" applyNumberFormat="1" applyFont="1" applyFill="1" applyBorder="1"/>
    <xf numFmtId="167" fontId="30" fillId="0" borderId="2" xfId="1" applyNumberFormat="1" applyFont="1" applyBorder="1"/>
    <xf numFmtId="167" fontId="30" fillId="2" borderId="19" xfId="0" applyNumberFormat="1" applyFont="1" applyFill="1" applyBorder="1"/>
    <xf numFmtId="1" fontId="30" fillId="0" borderId="14" xfId="0" applyNumberFormat="1" applyFont="1" applyBorder="1" applyAlignment="1">
      <alignment horizontal="center"/>
    </xf>
    <xf numFmtId="2" fontId="30" fillId="0" borderId="0" xfId="0" applyNumberFormat="1" applyFont="1" applyAlignment="1">
      <alignment wrapText="1"/>
    </xf>
    <xf numFmtId="2" fontId="30" fillId="0" borderId="46" xfId="0" applyNumberFormat="1" applyFont="1" applyBorder="1" applyAlignment="1">
      <alignment horizontal="right"/>
    </xf>
    <xf numFmtId="167" fontId="30" fillId="0" borderId="52" xfId="1" applyNumberFormat="1" applyFont="1" applyBorder="1" applyAlignment="1">
      <alignment horizontal="right"/>
    </xf>
    <xf numFmtId="167" fontId="30" fillId="0" borderId="0" xfId="1" applyNumberFormat="1" applyFont="1" applyBorder="1"/>
    <xf numFmtId="0" fontId="30" fillId="0" borderId="0" xfId="0" applyFont="1" applyAlignment="1">
      <alignment wrapText="1"/>
    </xf>
    <xf numFmtId="0" fontId="30" fillId="2" borderId="15" xfId="0" applyFont="1" applyFill="1" applyBorder="1"/>
    <xf numFmtId="0" fontId="36" fillId="2" borderId="16" xfId="0" applyFont="1" applyFill="1" applyBorder="1"/>
    <xf numFmtId="2" fontId="36" fillId="2" borderId="16" xfId="0" applyNumberFormat="1" applyFont="1" applyFill="1" applyBorder="1" applyAlignment="1">
      <alignment horizontal="center"/>
    </xf>
    <xf numFmtId="0" fontId="36" fillId="7" borderId="14" xfId="0" applyFont="1" applyFill="1" applyBorder="1" applyAlignment="1">
      <alignment horizontal="center"/>
    </xf>
    <xf numFmtId="0" fontId="36" fillId="7" borderId="0" xfId="0" applyFont="1" applyFill="1" applyAlignment="1">
      <alignment horizontal="center"/>
    </xf>
    <xf numFmtId="2" fontId="36" fillId="7" borderId="45" xfId="0" applyNumberFormat="1" applyFont="1" applyFill="1" applyBorder="1" applyAlignment="1">
      <alignment horizontal="center"/>
    </xf>
    <xf numFmtId="2" fontId="36" fillId="7" borderId="50" xfId="0" applyNumberFormat="1" applyFont="1" applyFill="1" applyBorder="1" applyAlignment="1">
      <alignment horizontal="center"/>
    </xf>
    <xf numFmtId="2" fontId="36" fillId="7" borderId="51" xfId="0" applyNumberFormat="1" applyFont="1" applyFill="1" applyBorder="1" applyAlignment="1">
      <alignment horizontal="center"/>
    </xf>
    <xf numFmtId="2" fontId="36" fillId="7" borderId="42" xfId="0" applyNumberFormat="1" applyFont="1" applyFill="1" applyBorder="1" applyAlignment="1">
      <alignment horizontal="center"/>
    </xf>
    <xf numFmtId="0" fontId="30" fillId="0" borderId="0" xfId="0" applyFont="1" applyAlignment="1">
      <alignment horizontal="left" wrapText="1"/>
    </xf>
    <xf numFmtId="2" fontId="30" fillId="0" borderId="0" xfId="0" applyNumberFormat="1" applyFont="1"/>
    <xf numFmtId="167" fontId="30" fillId="2" borderId="0" xfId="0" applyNumberFormat="1" applyFont="1" applyFill="1"/>
    <xf numFmtId="0" fontId="30" fillId="0" borderId="20" xfId="0" applyFont="1" applyBorder="1"/>
    <xf numFmtId="0" fontId="30" fillId="0" borderId="21" xfId="0" applyFont="1" applyBorder="1" applyAlignment="1">
      <alignment horizontal="left" wrapText="1"/>
    </xf>
    <xf numFmtId="2" fontId="30" fillId="0" borderId="21" xfId="0" applyNumberFormat="1" applyFont="1" applyBorder="1"/>
    <xf numFmtId="167" fontId="30" fillId="0" borderId="21" xfId="0" applyNumberFormat="1" applyFont="1" applyBorder="1"/>
    <xf numFmtId="167" fontId="30" fillId="2" borderId="21" xfId="0" applyNumberFormat="1" applyFont="1" applyFill="1" applyBorder="1"/>
    <xf numFmtId="49" fontId="1" fillId="5" borderId="24" xfId="0" applyNumberFormat="1" applyFont="1" applyFill="1" applyBorder="1"/>
    <xf numFmtId="49" fontId="1" fillId="5" borderId="22" xfId="0" applyNumberFormat="1" applyFont="1" applyFill="1" applyBorder="1"/>
    <xf numFmtId="14" fontId="1" fillId="5" borderId="22" xfId="0" applyNumberFormat="1" applyFont="1" applyFill="1" applyBorder="1" applyAlignment="1">
      <alignment horizontal="left"/>
    </xf>
    <xf numFmtId="0" fontId="1" fillId="9" borderId="1" xfId="2" applyFill="1" applyBorder="1" applyAlignment="1">
      <alignment wrapText="1"/>
    </xf>
    <xf numFmtId="0" fontId="38" fillId="0" borderId="0" xfId="0" applyFont="1"/>
    <xf numFmtId="0" fontId="3" fillId="3" borderId="9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2" fillId="0" borderId="35" xfId="0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2" fillId="0" borderId="63" xfId="0" applyFont="1" applyBorder="1" applyAlignment="1">
      <alignment horizontal="center"/>
    </xf>
    <xf numFmtId="0" fontId="3" fillId="2" borderId="65" xfId="0" applyFont="1" applyFill="1" applyBorder="1" applyAlignment="1">
      <alignment horizontal="center"/>
    </xf>
    <xf numFmtId="0" fontId="3" fillId="2" borderId="66" xfId="0" applyFont="1" applyFill="1" applyBorder="1" applyAlignment="1">
      <alignment horizontal="center"/>
    </xf>
    <xf numFmtId="2" fontId="3" fillId="2" borderId="64" xfId="0" applyNumberFormat="1" applyFont="1" applyFill="1" applyBorder="1" applyAlignment="1">
      <alignment horizontal="center" vertical="center" wrapText="1"/>
    </xf>
    <xf numFmtId="2" fontId="3" fillId="2" borderId="36" xfId="0" applyNumberFormat="1" applyFont="1" applyFill="1" applyBorder="1" applyAlignment="1">
      <alignment horizontal="center" vertical="center" wrapText="1"/>
    </xf>
    <xf numFmtId="2" fontId="3" fillId="2" borderId="63" xfId="0" applyNumberFormat="1" applyFont="1" applyFill="1" applyBorder="1" applyAlignment="1">
      <alignment horizontal="center" vertical="center" wrapText="1"/>
    </xf>
    <xf numFmtId="0" fontId="3" fillId="2" borderId="52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35" xfId="0" applyFont="1" applyFill="1" applyBorder="1" applyAlignment="1">
      <alignment horizontal="center"/>
    </xf>
    <xf numFmtId="0" fontId="3" fillId="2" borderId="36" xfId="0" applyFont="1" applyFill="1" applyBorder="1" applyAlignment="1">
      <alignment horizontal="center"/>
    </xf>
    <xf numFmtId="0" fontId="3" fillId="2" borderId="60" xfId="0" applyFont="1" applyFill="1" applyBorder="1" applyAlignment="1">
      <alignment horizontal="center"/>
    </xf>
    <xf numFmtId="0" fontId="3" fillId="2" borderId="61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2" xfId="0" applyFont="1" applyFill="1" applyBorder="1" applyAlignment="1">
      <alignment horizontal="center"/>
    </xf>
    <xf numFmtId="0" fontId="17" fillId="7" borderId="24" xfId="0" applyFont="1" applyFill="1" applyBorder="1" applyAlignment="1">
      <alignment horizontal="center"/>
    </xf>
    <xf numFmtId="0" fontId="17" fillId="7" borderId="25" xfId="0" applyFont="1" applyFill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2" fontId="17" fillId="7" borderId="15" xfId="0" applyNumberFormat="1" applyFont="1" applyFill="1" applyBorder="1" applyAlignment="1">
      <alignment horizontal="center"/>
    </xf>
    <xf numFmtId="2" fontId="17" fillId="7" borderId="16" xfId="0" applyNumberFormat="1" applyFont="1" applyFill="1" applyBorder="1" applyAlignment="1">
      <alignment horizontal="center"/>
    </xf>
    <xf numFmtId="2" fontId="17" fillId="7" borderId="6" xfId="0" applyNumberFormat="1" applyFont="1" applyFill="1" applyBorder="1" applyAlignment="1">
      <alignment horizontal="center"/>
    </xf>
    <xf numFmtId="0" fontId="21" fillId="0" borderId="34" xfId="0" applyFont="1" applyBorder="1" applyAlignment="1">
      <alignment horizontal="left"/>
    </xf>
    <xf numFmtId="0" fontId="21" fillId="0" borderId="0" xfId="0" applyFont="1" applyAlignment="1">
      <alignment horizontal="left" wrapText="1"/>
    </xf>
    <xf numFmtId="0" fontId="21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5" fillId="0" borderId="34" xfId="0" applyFont="1" applyBorder="1" applyAlignment="1">
      <alignment horizontal="left"/>
    </xf>
    <xf numFmtId="165" fontId="36" fillId="7" borderId="61" xfId="0" applyNumberFormat="1" applyFont="1" applyFill="1" applyBorder="1" applyAlignment="1">
      <alignment horizontal="center"/>
    </xf>
    <xf numFmtId="165" fontId="36" fillId="7" borderId="13" xfId="0" applyNumberFormat="1" applyFont="1" applyFill="1" applyBorder="1" applyAlignment="1">
      <alignment horizontal="center"/>
    </xf>
    <xf numFmtId="1" fontId="36" fillId="7" borderId="61" xfId="0" applyNumberFormat="1" applyFont="1" applyFill="1" applyBorder="1" applyAlignment="1">
      <alignment horizontal="center"/>
    </xf>
    <xf numFmtId="1" fontId="36" fillId="7" borderId="62" xfId="0" applyNumberFormat="1" applyFont="1" applyFill="1" applyBorder="1" applyAlignment="1">
      <alignment horizontal="center"/>
    </xf>
    <xf numFmtId="2" fontId="34" fillId="7" borderId="15" xfId="0" applyNumberFormat="1" applyFont="1" applyFill="1" applyBorder="1" applyAlignment="1">
      <alignment horizontal="center"/>
    </xf>
    <xf numFmtId="2" fontId="34" fillId="7" borderId="16" xfId="0" applyNumberFormat="1" applyFont="1" applyFill="1" applyBorder="1" applyAlignment="1">
      <alignment horizontal="center"/>
    </xf>
    <xf numFmtId="2" fontId="34" fillId="7" borderId="6" xfId="0" applyNumberFormat="1" applyFont="1" applyFill="1" applyBorder="1" applyAlignment="1">
      <alignment horizontal="center"/>
    </xf>
    <xf numFmtId="2" fontId="34" fillId="7" borderId="50" xfId="0" applyNumberFormat="1" applyFont="1" applyFill="1" applyBorder="1" applyAlignment="1">
      <alignment horizontal="center" vertical="center"/>
    </xf>
    <xf numFmtId="2" fontId="34" fillId="7" borderId="51" xfId="0" applyNumberFormat="1" applyFont="1" applyFill="1" applyBorder="1" applyAlignment="1">
      <alignment horizontal="center" vertical="center"/>
    </xf>
    <xf numFmtId="2" fontId="34" fillId="7" borderId="67" xfId="0" applyNumberFormat="1" applyFont="1" applyFill="1" applyBorder="1" applyAlignment="1">
      <alignment horizontal="center" vertical="center"/>
    </xf>
    <xf numFmtId="2" fontId="34" fillId="7" borderId="68" xfId="0" applyNumberFormat="1" applyFont="1" applyFill="1" applyBorder="1" applyAlignment="1">
      <alignment horizontal="center" vertical="center"/>
    </xf>
    <xf numFmtId="166" fontId="35" fillId="2" borderId="61" xfId="0" applyNumberFormat="1" applyFont="1" applyFill="1" applyBorder="1" applyAlignment="1">
      <alignment horizontal="center"/>
    </xf>
    <xf numFmtId="166" fontId="35" fillId="2" borderId="62" xfId="0" applyNumberFormat="1" applyFont="1" applyFill="1" applyBorder="1" applyAlignment="1">
      <alignment horizontal="center"/>
    </xf>
    <xf numFmtId="166" fontId="35" fillId="2" borderId="5" xfId="0" applyNumberFormat="1" applyFont="1" applyFill="1" applyBorder="1" applyAlignment="1">
      <alignment horizontal="center"/>
    </xf>
    <xf numFmtId="166" fontId="35" fillId="2" borderId="13" xfId="0" applyNumberFormat="1" applyFont="1" applyFill="1" applyBorder="1" applyAlignment="1">
      <alignment horizontal="center"/>
    </xf>
    <xf numFmtId="166" fontId="36" fillId="2" borderId="69" xfId="0" applyNumberFormat="1" applyFont="1" applyFill="1" applyBorder="1" applyAlignment="1">
      <alignment horizontal="center"/>
    </xf>
    <xf numFmtId="166" fontId="36" fillId="2" borderId="70" xfId="0" applyNumberFormat="1" applyFont="1" applyFill="1" applyBorder="1" applyAlignment="1">
      <alignment horizontal="center"/>
    </xf>
    <xf numFmtId="166" fontId="36" fillId="2" borderId="71" xfId="0" applyNumberFormat="1" applyFont="1" applyFill="1" applyBorder="1" applyAlignment="1">
      <alignment horizontal="center"/>
    </xf>
    <xf numFmtId="167" fontId="36" fillId="2" borderId="72" xfId="0" applyNumberFormat="1" applyFont="1" applyFill="1" applyBorder="1" applyAlignment="1">
      <alignment horizontal="center"/>
    </xf>
    <xf numFmtId="0" fontId="36" fillId="2" borderId="72" xfId="0" applyFont="1" applyFill="1" applyBorder="1" applyAlignment="1">
      <alignment horizontal="center"/>
    </xf>
    <xf numFmtId="0" fontId="36" fillId="2" borderId="73" xfId="0" applyFont="1" applyFill="1" applyBorder="1" applyAlignment="1">
      <alignment horizontal="center"/>
    </xf>
    <xf numFmtId="166" fontId="36" fillId="2" borderId="74" xfId="0" applyNumberFormat="1" applyFont="1" applyFill="1" applyBorder="1" applyAlignment="1">
      <alignment horizontal="center"/>
    </xf>
    <xf numFmtId="166" fontId="36" fillId="2" borderId="75" xfId="0" applyNumberFormat="1" applyFont="1" applyFill="1" applyBorder="1" applyAlignment="1">
      <alignment horizontal="center"/>
    </xf>
    <xf numFmtId="166" fontId="36" fillId="2" borderId="76" xfId="0" applyNumberFormat="1" applyFont="1" applyFill="1" applyBorder="1" applyAlignment="1">
      <alignment horizontal="center"/>
    </xf>
    <xf numFmtId="0" fontId="25" fillId="4" borderId="0" xfId="0" applyFont="1" applyFill="1" applyAlignment="1">
      <alignment horizontal="center"/>
    </xf>
    <xf numFmtId="0" fontId="2" fillId="0" borderId="0" xfId="0" applyFont="1" applyAlignment="1">
      <alignment horizontal="center"/>
    </xf>
  </cellXfs>
  <cellStyles count="4">
    <cellStyle name="Moneda" xfId="1" builtinId="4"/>
    <cellStyle name="Normal" xfId="0" builtinId="0"/>
    <cellStyle name="Normal_IT_DipCMMI_Template Excel_vPA1" xfId="2" xr:uid="{00000000-0005-0000-0000-000002000000}"/>
    <cellStyle name="Porcentaje" xfId="3" builtinId="5"/>
  </cellStyles>
  <dxfs count="0"/>
  <tableStyles count="0" defaultTableStyle="TableStyleMedium9" defaultPivotStyle="PivotStyleLight16"/>
  <colors>
    <mruColors>
      <color rgb="FFFF00FF"/>
      <color rgb="FF33CCFF"/>
      <color rgb="FF660066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trlProps/ctrlProp1.xml><?xml version="1.0" encoding="utf-8"?>
<formControlPr xmlns="http://schemas.microsoft.com/office/spreadsheetml/2009/9/main" objectType="Drop" dropStyle="combo" dx="9" fmlaLink="$G$7" fmlaRange="'Criterios de Complejidad'!$B$3:$B$4" noThreeD="1" sel="1" val="0"/>
</file>

<file path=xl/ctrlProps/ctrlProp2.xml><?xml version="1.0" encoding="utf-8"?>
<formControlPr xmlns="http://schemas.microsoft.com/office/spreadsheetml/2009/9/main" objectType="Drop" dropStyle="combo" dx="9" fmlaLink="$G$9" fmlaRange="'Criterios de Complejidad'!$B$6:$B$8" noThreeD="1" sel="1" val="0"/>
</file>

<file path=xl/ctrlProps/ctrlProp3.xml><?xml version="1.0" encoding="utf-8"?>
<formControlPr xmlns="http://schemas.microsoft.com/office/spreadsheetml/2009/9/main" objectType="Drop" dropStyle="combo" dx="9" fmlaLink="$G$11" fmlaRange="'Criterios de Complejidad'!$B$10:$B$12" noThreeD="1" sel="1" val="0"/>
</file>

<file path=xl/ctrlProps/ctrlProp4.xml><?xml version="1.0" encoding="utf-8"?>
<formControlPr xmlns="http://schemas.microsoft.com/office/spreadsheetml/2009/9/main" objectType="Drop" dropStyle="combo" dx="9" fmlaLink="$G$13" fmlaRange="'Criterios de Complejidad'!$B$14:$B$16" noThreeD="1" sel="1" val="0"/>
</file>

<file path=xl/ctrlProps/ctrlProp5.xml><?xml version="1.0" encoding="utf-8"?>
<formControlPr xmlns="http://schemas.microsoft.com/office/spreadsheetml/2009/9/main" objectType="Drop" dropStyle="combo" dx="9" fmlaLink="$G$15" fmlaRange="'Criterios de Complejidad'!$B$18:$B$20" noThreeD="1" sel="1" val="0"/>
</file>

<file path=xl/ctrlProps/ctrlProp6.xml><?xml version="1.0" encoding="utf-8"?>
<formControlPr xmlns="http://schemas.microsoft.com/office/spreadsheetml/2009/9/main" objectType="Drop" dropStyle="combo" dx="9" fmlaLink="$G$17" fmlaRange="'Criterios de Complejidad'!$B$22:$B$24" noThreeD="1" sel="1" val="0"/>
</file>

<file path=xl/ctrlProps/ctrlProp7.xml><?xml version="1.0" encoding="utf-8"?>
<formControlPr xmlns="http://schemas.microsoft.com/office/spreadsheetml/2009/9/main" objectType="Drop" dropStyle="combo" dx="9" fmlaLink="$G$19" fmlaRange="'Criterios de Complejidad'!$B$26:$B$28" noThreeD="1" sel="1" val="0"/>
</file>

<file path=xl/ctrlProps/ctrlProp8.xml><?xml version="1.0" encoding="utf-8"?>
<formControlPr xmlns="http://schemas.microsoft.com/office/spreadsheetml/2009/9/main" objectType="Drop" dropStyle="combo" dx="9" fmlaLink="$G$21" fmlaRange="'Criterios de Complejidad'!$B$30:$B$32" noThreeD="1" sel="1" val="0"/>
</file>

<file path=xl/ctrlProps/ctrlProp9.xml><?xml version="1.0" encoding="utf-8"?>
<formControlPr xmlns="http://schemas.microsoft.com/office/spreadsheetml/2009/9/main" objectType="Drop" dropStyle="combo" dx="9" fmlaLink="$G$23" fmlaRange="'Criterios de Complejidad'!$B$34:$B$36" noThreeD="1" sel="1" val="0"/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6</xdr:row>
          <xdr:rowOff>9525</xdr:rowOff>
        </xdr:from>
        <xdr:to>
          <xdr:col>5</xdr:col>
          <xdr:colOff>457200</xdr:colOff>
          <xdr:row>7</xdr:row>
          <xdr:rowOff>9525</xdr:rowOff>
        </xdr:to>
        <xdr:sp macro="" textlink="">
          <xdr:nvSpPr>
            <xdr:cNvPr id="2049" name="Drop Dow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9525</xdr:rowOff>
        </xdr:from>
        <xdr:to>
          <xdr:col>5</xdr:col>
          <xdr:colOff>466725</xdr:colOff>
          <xdr:row>9</xdr:row>
          <xdr:rowOff>0</xdr:rowOff>
        </xdr:to>
        <xdr:sp macro="" textlink="">
          <xdr:nvSpPr>
            <xdr:cNvPr id="2050" name="Drop Down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0</xdr:rowOff>
        </xdr:from>
        <xdr:to>
          <xdr:col>5</xdr:col>
          <xdr:colOff>476250</xdr:colOff>
          <xdr:row>11</xdr:row>
          <xdr:rowOff>0</xdr:rowOff>
        </xdr:to>
        <xdr:sp macro="" textlink="">
          <xdr:nvSpPr>
            <xdr:cNvPr id="2051" name="Drop Down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</xdr:row>
          <xdr:rowOff>0</xdr:rowOff>
        </xdr:from>
        <xdr:to>
          <xdr:col>5</xdr:col>
          <xdr:colOff>476250</xdr:colOff>
          <xdr:row>13</xdr:row>
          <xdr:rowOff>0</xdr:rowOff>
        </xdr:to>
        <xdr:sp macro="" textlink="">
          <xdr:nvSpPr>
            <xdr:cNvPr id="2052" name="Drop Down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14</xdr:row>
          <xdr:rowOff>9525</xdr:rowOff>
        </xdr:from>
        <xdr:to>
          <xdr:col>5</xdr:col>
          <xdr:colOff>466725</xdr:colOff>
          <xdr:row>15</xdr:row>
          <xdr:rowOff>0</xdr:rowOff>
        </xdr:to>
        <xdr:sp macro="" textlink="">
          <xdr:nvSpPr>
            <xdr:cNvPr id="2053" name="Drop Down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0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16</xdr:row>
          <xdr:rowOff>0</xdr:rowOff>
        </xdr:from>
        <xdr:to>
          <xdr:col>5</xdr:col>
          <xdr:colOff>466725</xdr:colOff>
          <xdr:row>17</xdr:row>
          <xdr:rowOff>0</xdr:rowOff>
        </xdr:to>
        <xdr:sp macro="" textlink="">
          <xdr:nvSpPr>
            <xdr:cNvPr id="2054" name="Drop Down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0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18</xdr:row>
          <xdr:rowOff>0</xdr:rowOff>
        </xdr:from>
        <xdr:to>
          <xdr:col>5</xdr:col>
          <xdr:colOff>457200</xdr:colOff>
          <xdr:row>19</xdr:row>
          <xdr:rowOff>0</xdr:rowOff>
        </xdr:to>
        <xdr:sp macro="" textlink="">
          <xdr:nvSpPr>
            <xdr:cNvPr id="2055" name="Drop Down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0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20</xdr:row>
          <xdr:rowOff>0</xdr:rowOff>
        </xdr:from>
        <xdr:to>
          <xdr:col>5</xdr:col>
          <xdr:colOff>476250</xdr:colOff>
          <xdr:row>21</xdr:row>
          <xdr:rowOff>0</xdr:rowOff>
        </xdr:to>
        <xdr:sp macro="" textlink="">
          <xdr:nvSpPr>
            <xdr:cNvPr id="2056" name="Drop Down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0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22</xdr:row>
          <xdr:rowOff>9525</xdr:rowOff>
        </xdr:from>
        <xdr:to>
          <xdr:col>5</xdr:col>
          <xdr:colOff>457200</xdr:colOff>
          <xdr:row>23</xdr:row>
          <xdr:rowOff>9525</xdr:rowOff>
        </xdr:to>
        <xdr:sp macro="" textlink="">
          <xdr:nvSpPr>
            <xdr:cNvPr id="2057" name="Drop Down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0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504825</xdr:colOff>
          <xdr:row>15</xdr:row>
          <xdr:rowOff>0</xdr:rowOff>
        </xdr:from>
        <xdr:to>
          <xdr:col>11</xdr:col>
          <xdr:colOff>0</xdr:colOff>
          <xdr:row>15</xdr:row>
          <xdr:rowOff>9525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504825</xdr:colOff>
          <xdr:row>15</xdr:row>
          <xdr:rowOff>0</xdr:rowOff>
        </xdr:from>
        <xdr:to>
          <xdr:col>11</xdr:col>
          <xdr:colOff>0</xdr:colOff>
          <xdr:row>15</xdr:row>
          <xdr:rowOff>9525</xdr:rowOff>
        </xdr:to>
        <xdr:sp macro="" textlink="">
          <xdr:nvSpPr>
            <xdr:cNvPr id="34817" name="Object 1" hidden="1">
              <a:extLst>
                <a:ext uri="{63B3BB69-23CF-44E3-9099-C40C66FF867C}">
                  <a14:compatExt spid="_x0000_s34817"/>
                </a:ext>
                <a:ext uri="{FF2B5EF4-FFF2-40B4-BE49-F238E27FC236}">
                  <a16:creationId xmlns:a16="http://schemas.microsoft.com/office/drawing/2014/main" id="{00000000-0008-0000-0200-0000018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504825</xdr:colOff>
          <xdr:row>15</xdr:row>
          <xdr:rowOff>0</xdr:rowOff>
        </xdr:from>
        <xdr:to>
          <xdr:col>11</xdr:col>
          <xdr:colOff>0</xdr:colOff>
          <xdr:row>15</xdr:row>
          <xdr:rowOff>9525</xdr:rowOff>
        </xdr:to>
        <xdr:sp macro="" textlink="">
          <xdr:nvSpPr>
            <xdr:cNvPr id="35841" name="Object 1" hidden="1">
              <a:extLst>
                <a:ext uri="{63B3BB69-23CF-44E3-9099-C40C66FF867C}">
                  <a14:compatExt spid="_x0000_s35841"/>
                </a:ext>
                <a:ext uri="{FF2B5EF4-FFF2-40B4-BE49-F238E27FC236}">
                  <a16:creationId xmlns:a16="http://schemas.microsoft.com/office/drawing/2014/main" id="{00000000-0008-0000-0300-0000018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.xml"/><Relationship Id="rId13" Type="http://schemas.openxmlformats.org/officeDocument/2006/relationships/ctrlProp" Target="../ctrlProps/ctrlProp9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3.xml"/><Relationship Id="rId12" Type="http://schemas.openxmlformats.org/officeDocument/2006/relationships/ctrlProp" Target="../ctrlProps/ctrlProp8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2.xml"/><Relationship Id="rId11" Type="http://schemas.openxmlformats.org/officeDocument/2006/relationships/ctrlProp" Target="../ctrlProps/ctrlProp7.xml"/><Relationship Id="rId5" Type="http://schemas.openxmlformats.org/officeDocument/2006/relationships/ctrlProp" Target="../ctrlProps/ctrlProp1.xml"/><Relationship Id="rId10" Type="http://schemas.openxmlformats.org/officeDocument/2006/relationships/ctrlProp" Target="../ctrlProps/ctrlProp6.xml"/><Relationship Id="rId4" Type="http://schemas.openxmlformats.org/officeDocument/2006/relationships/vmlDrawing" Target="../drawings/vmlDrawing2.vml"/><Relationship Id="rId9" Type="http://schemas.openxmlformats.org/officeDocument/2006/relationships/ctrlProp" Target="../ctrlProps/ctrlProp5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2.emf"/><Relationship Id="rId4" Type="http://schemas.openxmlformats.org/officeDocument/2006/relationships/oleObject" Target="../embeddings/Microsoft_Word_97_-_2003_Document.doc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2.emf"/><Relationship Id="rId4" Type="http://schemas.openxmlformats.org/officeDocument/2006/relationships/oleObject" Target="../embeddings/Microsoft_Word_97_-_2003_Document1.doc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openxmlformats.org/officeDocument/2006/relationships/image" Target="../media/image2.emf"/><Relationship Id="rId4" Type="http://schemas.openxmlformats.org/officeDocument/2006/relationships/oleObject" Target="../embeddings/Microsoft_Word_97_-_2003_Document2.doc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G40"/>
  <sheetViews>
    <sheetView zoomScaleNormal="100" workbookViewId="0">
      <selection activeCell="I16" sqref="I16"/>
    </sheetView>
  </sheetViews>
  <sheetFormatPr baseColWidth="10" defaultColWidth="9.140625" defaultRowHeight="12.75" x14ac:dyDescent="0.2"/>
  <cols>
    <col min="1" max="1" width="11.42578125" customWidth="1"/>
    <col min="2" max="2" width="9.140625" customWidth="1"/>
    <col min="3" max="3" width="29.42578125" customWidth="1"/>
    <col min="4" max="4" width="9.140625" customWidth="1"/>
    <col min="5" max="5" width="11.28515625" customWidth="1"/>
    <col min="6" max="6" width="9.42578125" customWidth="1"/>
    <col min="7" max="7" width="7.7109375" customWidth="1"/>
  </cols>
  <sheetData>
    <row r="1" spans="1:7" x14ac:dyDescent="0.2">
      <c r="A1" t="s">
        <v>80</v>
      </c>
    </row>
    <row r="2" spans="1:7" x14ac:dyDescent="0.2">
      <c r="A2" t="s">
        <v>81</v>
      </c>
    </row>
    <row r="3" spans="1:7" ht="13.5" thickBot="1" x14ac:dyDescent="0.25"/>
    <row r="4" spans="1:7" x14ac:dyDescent="0.2">
      <c r="B4" s="255" t="s">
        <v>6</v>
      </c>
      <c r="C4" s="256"/>
      <c r="D4" s="256"/>
      <c r="E4" s="256"/>
      <c r="F4" s="256"/>
      <c r="G4" s="257"/>
    </row>
    <row r="5" spans="1:7" x14ac:dyDescent="0.2">
      <c r="B5" s="33" t="s">
        <v>3</v>
      </c>
      <c r="C5" s="258" t="s">
        <v>7</v>
      </c>
      <c r="D5" s="259"/>
      <c r="E5" s="259"/>
      <c r="F5" s="260"/>
      <c r="G5" s="34" t="s">
        <v>8</v>
      </c>
    </row>
    <row r="6" spans="1:7" x14ac:dyDescent="0.2">
      <c r="B6" s="35" t="s">
        <v>9</v>
      </c>
      <c r="C6" s="8" t="s">
        <v>10</v>
      </c>
      <c r="D6" s="8"/>
      <c r="E6" s="8"/>
      <c r="F6" s="8"/>
      <c r="G6" s="36"/>
    </row>
    <row r="7" spans="1:7" ht="16.5" customHeight="1" x14ac:dyDescent="0.2">
      <c r="B7" s="37"/>
      <c r="C7" s="1"/>
      <c r="D7" s="1"/>
      <c r="E7" s="1"/>
      <c r="F7" s="1"/>
      <c r="G7" s="38">
        <v>1</v>
      </c>
    </row>
    <row r="8" spans="1:7" ht="15" customHeight="1" x14ac:dyDescent="0.2">
      <c r="B8" s="39" t="s">
        <v>11</v>
      </c>
      <c r="C8" s="9" t="s">
        <v>12</v>
      </c>
      <c r="D8" s="9"/>
      <c r="E8" s="9"/>
      <c r="F8" s="9"/>
      <c r="G8" s="40"/>
    </row>
    <row r="9" spans="1:7" ht="16.5" customHeight="1" x14ac:dyDescent="0.2">
      <c r="B9" s="37"/>
      <c r="C9" s="1"/>
      <c r="D9" s="1"/>
      <c r="E9" s="1"/>
      <c r="F9" s="1"/>
      <c r="G9" s="38">
        <v>1</v>
      </c>
    </row>
    <row r="10" spans="1:7" ht="13.5" customHeight="1" x14ac:dyDescent="0.2">
      <c r="B10" s="39" t="s">
        <v>13</v>
      </c>
      <c r="C10" s="9" t="s">
        <v>14</v>
      </c>
      <c r="D10" s="9"/>
      <c r="E10" s="9"/>
      <c r="F10" s="9"/>
      <c r="G10" s="40"/>
    </row>
    <row r="11" spans="1:7" ht="15.75" customHeight="1" x14ac:dyDescent="0.2">
      <c r="B11" s="37"/>
      <c r="C11" s="1"/>
      <c r="D11" s="1"/>
      <c r="E11" s="1"/>
      <c r="F11" s="1"/>
      <c r="G11" s="38">
        <v>1</v>
      </c>
    </row>
    <row r="12" spans="1:7" x14ac:dyDescent="0.2">
      <c r="B12" s="39" t="s">
        <v>15</v>
      </c>
      <c r="C12" s="9" t="s">
        <v>16</v>
      </c>
      <c r="D12" s="9"/>
      <c r="E12" s="9"/>
      <c r="F12" s="9"/>
      <c r="G12" s="40"/>
    </row>
    <row r="13" spans="1:7" ht="16.5" customHeight="1" x14ac:dyDescent="0.2">
      <c r="B13" s="37"/>
      <c r="C13" s="1"/>
      <c r="D13" s="1"/>
      <c r="E13" s="1"/>
      <c r="F13" s="1"/>
      <c r="G13" s="38">
        <v>1</v>
      </c>
    </row>
    <row r="14" spans="1:7" ht="15" customHeight="1" x14ac:dyDescent="0.2">
      <c r="B14" s="39" t="s">
        <v>17</v>
      </c>
      <c r="C14" s="9" t="s">
        <v>18</v>
      </c>
      <c r="D14" s="9"/>
      <c r="E14" s="9"/>
      <c r="F14" s="9"/>
      <c r="G14" s="40"/>
    </row>
    <row r="15" spans="1:7" ht="17.25" customHeight="1" x14ac:dyDescent="0.2">
      <c r="B15" s="37"/>
      <c r="C15" s="1"/>
      <c r="D15" s="1"/>
      <c r="E15" s="1"/>
      <c r="F15" s="1"/>
      <c r="G15" s="38">
        <v>1</v>
      </c>
    </row>
    <row r="16" spans="1:7" x14ac:dyDescent="0.2">
      <c r="B16" s="39" t="s">
        <v>19</v>
      </c>
      <c r="C16" s="9" t="s">
        <v>20</v>
      </c>
      <c r="D16" s="9"/>
      <c r="E16" s="9"/>
      <c r="F16" s="9"/>
      <c r="G16" s="40"/>
    </row>
    <row r="17" spans="2:7" ht="15.75" customHeight="1" x14ac:dyDescent="0.2">
      <c r="B17" s="37"/>
      <c r="C17" s="1"/>
      <c r="D17" s="1"/>
      <c r="E17" s="1"/>
      <c r="F17" s="1"/>
      <c r="G17" s="38">
        <v>1</v>
      </c>
    </row>
    <row r="18" spans="2:7" x14ac:dyDescent="0.2">
      <c r="B18" s="39" t="s">
        <v>21</v>
      </c>
      <c r="C18" s="9" t="s">
        <v>22</v>
      </c>
      <c r="D18" s="9"/>
      <c r="E18" s="9"/>
      <c r="F18" s="9"/>
      <c r="G18" s="40"/>
    </row>
    <row r="19" spans="2:7" ht="15.75" customHeight="1" x14ac:dyDescent="0.2">
      <c r="B19" s="37"/>
      <c r="C19" s="1"/>
      <c r="D19" s="1"/>
      <c r="E19" s="1"/>
      <c r="F19" s="1"/>
      <c r="G19" s="38">
        <v>1</v>
      </c>
    </row>
    <row r="20" spans="2:7" x14ac:dyDescent="0.2">
      <c r="B20" s="39" t="s">
        <v>23</v>
      </c>
      <c r="C20" s="9" t="s">
        <v>24</v>
      </c>
      <c r="D20" s="9"/>
      <c r="E20" s="9"/>
      <c r="F20" s="9"/>
      <c r="G20" s="40"/>
    </row>
    <row r="21" spans="2:7" ht="15.75" customHeight="1" x14ac:dyDescent="0.2">
      <c r="B21" s="37"/>
      <c r="C21" s="1"/>
      <c r="D21" s="1"/>
      <c r="E21" s="1"/>
      <c r="F21" s="1"/>
      <c r="G21" s="38">
        <v>1</v>
      </c>
    </row>
    <row r="22" spans="2:7" x14ac:dyDescent="0.2">
      <c r="B22" s="39" t="s">
        <v>25</v>
      </c>
      <c r="C22" s="9" t="s">
        <v>26</v>
      </c>
      <c r="D22" s="9"/>
      <c r="E22" s="9"/>
      <c r="F22" s="9"/>
      <c r="G22" s="40"/>
    </row>
    <row r="23" spans="2:7" ht="15.75" customHeight="1" x14ac:dyDescent="0.2">
      <c r="B23" s="37"/>
      <c r="C23" s="1"/>
      <c r="D23" s="1"/>
      <c r="E23" s="1"/>
      <c r="F23" s="1"/>
      <c r="G23" s="38">
        <v>1</v>
      </c>
    </row>
    <row r="24" spans="2:7" x14ac:dyDescent="0.2">
      <c r="B24" s="41" t="s">
        <v>64</v>
      </c>
      <c r="C24" s="10"/>
      <c r="D24" s="10"/>
      <c r="E24" s="10"/>
      <c r="F24" s="10"/>
      <c r="G24" s="42">
        <f>SUM(G7:G23)</f>
        <v>9</v>
      </c>
    </row>
    <row r="25" spans="2:7" s="7" customFormat="1" ht="13.5" thickBot="1" x14ac:dyDescent="0.25">
      <c r="B25" s="43" t="s">
        <v>75</v>
      </c>
      <c r="C25" s="44"/>
      <c r="D25" s="44"/>
      <c r="E25" s="44"/>
      <c r="F25" s="44"/>
      <c r="G25" s="45">
        <f>1 +  ((G24-9) / 18)</f>
        <v>1</v>
      </c>
    </row>
    <row r="26" spans="2:7" ht="13.5" thickBot="1" x14ac:dyDescent="0.25"/>
    <row r="27" spans="2:7" ht="39" thickBot="1" x14ac:dyDescent="0.25">
      <c r="C27" s="52" t="s">
        <v>74</v>
      </c>
      <c r="D27" s="56">
        <v>1</v>
      </c>
      <c r="E27" s="46" t="s">
        <v>73</v>
      </c>
    </row>
    <row r="30" spans="2:7" ht="13.5" thickBot="1" x14ac:dyDescent="0.25">
      <c r="B30" s="30" t="s">
        <v>66</v>
      </c>
    </row>
    <row r="31" spans="2:7" x14ac:dyDescent="0.2">
      <c r="B31" s="31"/>
      <c r="C31" s="32"/>
      <c r="D31" s="32"/>
      <c r="E31" s="32"/>
      <c r="F31" s="32"/>
      <c r="G31" s="20"/>
    </row>
    <row r="32" spans="2:7" x14ac:dyDescent="0.2">
      <c r="B32" s="47"/>
      <c r="G32" s="48"/>
    </row>
    <row r="33" spans="2:7" x14ac:dyDescent="0.2">
      <c r="B33" s="47"/>
      <c r="G33" s="48"/>
    </row>
    <row r="34" spans="2:7" x14ac:dyDescent="0.2">
      <c r="B34" s="47"/>
      <c r="G34" s="48"/>
    </row>
    <row r="35" spans="2:7" x14ac:dyDescent="0.2">
      <c r="B35" s="47"/>
      <c r="G35" s="48"/>
    </row>
    <row r="36" spans="2:7" x14ac:dyDescent="0.2">
      <c r="B36" s="47"/>
      <c r="G36" s="48"/>
    </row>
    <row r="37" spans="2:7" x14ac:dyDescent="0.2">
      <c r="B37" s="47"/>
      <c r="G37" s="48"/>
    </row>
    <row r="38" spans="2:7" x14ac:dyDescent="0.2">
      <c r="B38" s="47"/>
      <c r="G38" s="48"/>
    </row>
    <row r="39" spans="2:7" x14ac:dyDescent="0.2">
      <c r="B39" s="47"/>
      <c r="G39" s="48"/>
    </row>
    <row r="40" spans="2:7" ht="13.5" thickBot="1" x14ac:dyDescent="0.25">
      <c r="B40" s="49"/>
      <c r="C40" s="50"/>
      <c r="D40" s="50"/>
      <c r="E40" s="50"/>
      <c r="F40" s="50"/>
      <c r="G40" s="51"/>
    </row>
  </sheetData>
  <dataConsolidate link="1"/>
  <mergeCells count="2">
    <mergeCell ref="B4:G4"/>
    <mergeCell ref="C5:F5"/>
  </mergeCells>
  <phoneticPr fontId="0" type="noConversion"/>
  <printOptions horizontalCentered="1"/>
  <pageMargins left="0.74803149606299213" right="0.74803149606299213" top="1.1023622047244095" bottom="0.98425196850393704" header="0.51181102362204722" footer="0.51181102362204722"/>
  <pageSetup scale="94" orientation="portrait" r:id="rId1"/>
  <headerFooter alignWithMargins="0">
    <oddHeader>&amp;L&amp;K0000FE&lt;Nombre del Cliente&gt;
&lt;Nombre del Proyecto&gt;
&lt;idProducto/version&gt;&amp;C&amp;"Arial,Negrita"HERRAMIENTA
DE ESTIMACIÓN&amp;R&amp;G</oddHeader>
    <oddFooter>&amp;LResponsable: &amp;K0000FE&lt;nombre&gt;&amp;K000000
Fecha: &amp;K0000FE&lt;dd/mm/aaaa&gt;&amp;C&amp;"Arial,Negrita"Doc: &amp;K0000FE&lt;idProducto/ver&gt;&amp;K000000-PP-ESTIM
Clasificación: INTERNO&amp;R&amp;P/&amp;N</oddFooter>
  </headerFooter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5" name="Drop Down 1">
              <controlPr defaultSize="0" autoLine="0" autoPict="0">
                <anchor moveWithCells="1">
                  <from>
                    <xdr:col>1</xdr:col>
                    <xdr:colOff>0</xdr:colOff>
                    <xdr:row>6</xdr:row>
                    <xdr:rowOff>9525</xdr:rowOff>
                  </from>
                  <to>
                    <xdr:col>5</xdr:col>
                    <xdr:colOff>457200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6" name="Drop Down 2">
              <controlPr defaultSize="0" autoLine="0" autoPict="0">
                <anchor moveWithCells="1">
                  <from>
                    <xdr:col>1</xdr:col>
                    <xdr:colOff>0</xdr:colOff>
                    <xdr:row>8</xdr:row>
                    <xdr:rowOff>9525</xdr:rowOff>
                  </from>
                  <to>
                    <xdr:col>5</xdr:col>
                    <xdr:colOff>466725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7" name="Drop Down 3">
              <controlPr defaultSize="0" autoLine="0" autoPict="0">
                <anchor moveWithCells="1">
                  <from>
                    <xdr:col>1</xdr:col>
                    <xdr:colOff>0</xdr:colOff>
                    <xdr:row>10</xdr:row>
                    <xdr:rowOff>0</xdr:rowOff>
                  </from>
                  <to>
                    <xdr:col>5</xdr:col>
                    <xdr:colOff>476250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8" name="Drop Down 4">
              <controlPr defaultSize="0" autoLine="0" autoPict="0">
                <anchor moveWithCells="1">
                  <from>
                    <xdr:col>1</xdr:col>
                    <xdr:colOff>0</xdr:colOff>
                    <xdr:row>12</xdr:row>
                    <xdr:rowOff>0</xdr:rowOff>
                  </from>
                  <to>
                    <xdr:col>5</xdr:col>
                    <xdr:colOff>476250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9" name="Drop Down 5">
              <controlPr defaultSize="0" autoLine="0" autoPict="0">
                <anchor moveWithCells="1">
                  <from>
                    <xdr:col>1</xdr:col>
                    <xdr:colOff>0</xdr:colOff>
                    <xdr:row>14</xdr:row>
                    <xdr:rowOff>9525</xdr:rowOff>
                  </from>
                  <to>
                    <xdr:col>5</xdr:col>
                    <xdr:colOff>466725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10" name="Drop Down 6">
              <controlPr defaultSize="0" autoLine="0" autoPict="0">
                <anchor moveWithCells="1">
                  <from>
                    <xdr:col>1</xdr:col>
                    <xdr:colOff>0</xdr:colOff>
                    <xdr:row>16</xdr:row>
                    <xdr:rowOff>0</xdr:rowOff>
                  </from>
                  <to>
                    <xdr:col>5</xdr:col>
                    <xdr:colOff>466725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1" name="Drop Down 7">
              <controlPr defaultSize="0" autoLine="0" autoPict="0">
                <anchor moveWithCells="1">
                  <from>
                    <xdr:col>1</xdr:col>
                    <xdr:colOff>0</xdr:colOff>
                    <xdr:row>18</xdr:row>
                    <xdr:rowOff>0</xdr:rowOff>
                  </from>
                  <to>
                    <xdr:col>5</xdr:col>
                    <xdr:colOff>457200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2" name="Drop Down 8">
              <controlPr defaultSize="0" autoLine="0" autoPict="0">
                <anchor moveWithCells="1">
                  <from>
                    <xdr:col>1</xdr:col>
                    <xdr:colOff>0</xdr:colOff>
                    <xdr:row>20</xdr:row>
                    <xdr:rowOff>0</xdr:rowOff>
                  </from>
                  <to>
                    <xdr:col>5</xdr:col>
                    <xdr:colOff>476250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3" name="Drop Down 9">
              <controlPr defaultSize="0" autoLine="0" autoPict="0">
                <anchor moveWithCells="1">
                  <from>
                    <xdr:col>1</xdr:col>
                    <xdr:colOff>0</xdr:colOff>
                    <xdr:row>22</xdr:row>
                    <xdr:rowOff>9525</xdr:rowOff>
                  </from>
                  <to>
                    <xdr:col>5</xdr:col>
                    <xdr:colOff>457200</xdr:colOff>
                    <xdr:row>23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pageSetUpPr fitToPage="1"/>
  </sheetPr>
  <dimension ref="A1:M85"/>
  <sheetViews>
    <sheetView view="pageLayout" topLeftCell="A10" zoomScale="160" zoomScaleNormal="100" zoomScalePageLayoutView="160" workbookViewId="0">
      <selection activeCell="H20" sqref="H20"/>
    </sheetView>
  </sheetViews>
  <sheetFormatPr baseColWidth="10" defaultColWidth="9.140625" defaultRowHeight="11.25" x14ac:dyDescent="0.2"/>
  <cols>
    <col min="1" max="1" width="8.85546875" style="1" customWidth="1"/>
    <col min="2" max="2" width="22" style="1" customWidth="1"/>
    <col min="3" max="5" width="12.28515625" style="1" customWidth="1"/>
    <col min="6" max="7" width="8.140625" style="1" customWidth="1"/>
    <col min="8" max="8" width="9.85546875" style="1" customWidth="1"/>
    <col min="9" max="10" width="8.140625" style="1" customWidth="1"/>
    <col min="11" max="11" width="9.7109375" style="1" customWidth="1"/>
    <col min="12" max="16384" width="9.140625" style="1"/>
  </cols>
  <sheetData>
    <row r="1" spans="1:12" x14ac:dyDescent="0.2">
      <c r="A1" s="19" t="s">
        <v>71</v>
      </c>
    </row>
    <row r="3" spans="1:12" x14ac:dyDescent="0.2">
      <c r="A3" s="1" t="s">
        <v>67</v>
      </c>
    </row>
    <row r="4" spans="1:12" x14ac:dyDescent="0.2">
      <c r="A4" s="1" t="s">
        <v>63</v>
      </c>
    </row>
    <row r="5" spans="1:12" x14ac:dyDescent="0.2">
      <c r="A5" s="1" t="s">
        <v>62</v>
      </c>
    </row>
    <row r="6" spans="1:12" x14ac:dyDescent="0.2">
      <c r="A6" s="1" t="s">
        <v>68</v>
      </c>
    </row>
    <row r="7" spans="1:12" x14ac:dyDescent="0.2">
      <c r="A7" s="1" t="s">
        <v>69</v>
      </c>
    </row>
    <row r="8" spans="1:12" x14ac:dyDescent="0.2">
      <c r="A8" s="1" t="s">
        <v>70</v>
      </c>
    </row>
    <row r="9" spans="1:12" x14ac:dyDescent="0.2">
      <c r="A9" s="1" t="s">
        <v>72</v>
      </c>
    </row>
    <row r="10" spans="1:12" ht="12" thickBot="1" x14ac:dyDescent="0.25"/>
    <row r="11" spans="1:12" customFormat="1" ht="12.75" x14ac:dyDescent="0.2">
      <c r="A11" s="245" t="s">
        <v>65</v>
      </c>
      <c r="B11" s="246"/>
      <c r="C11" s="246"/>
      <c r="D11" s="246"/>
      <c r="E11" s="246"/>
      <c r="F11" s="246"/>
      <c r="G11" s="246"/>
      <c r="H11" s="246"/>
      <c r="I11" s="246"/>
      <c r="J11" s="247"/>
      <c r="K11" s="20"/>
    </row>
    <row r="12" spans="1:12" customFormat="1" ht="12.75" x14ac:dyDescent="0.2">
      <c r="A12" s="21" t="s">
        <v>60</v>
      </c>
      <c r="B12" s="239" t="s">
        <v>155</v>
      </c>
      <c r="C12" s="54"/>
      <c r="D12" s="54"/>
      <c r="E12" s="54"/>
      <c r="F12" s="54"/>
      <c r="G12" s="54"/>
      <c r="H12" s="54"/>
      <c r="I12" s="11"/>
      <c r="J12" s="13"/>
      <c r="K12" s="22"/>
    </row>
    <row r="13" spans="1:12" customFormat="1" ht="12.75" x14ac:dyDescent="0.2">
      <c r="A13" s="23" t="s">
        <v>59</v>
      </c>
      <c r="B13" s="239" t="s">
        <v>156</v>
      </c>
      <c r="C13" s="55"/>
      <c r="D13" s="55"/>
      <c r="E13" s="55"/>
      <c r="F13" s="55"/>
      <c r="G13" s="55"/>
      <c r="H13" s="55"/>
      <c r="I13" s="12"/>
      <c r="J13" s="13"/>
      <c r="K13" s="24"/>
    </row>
    <row r="14" spans="1:12" customFormat="1" ht="13.5" thickBot="1" x14ac:dyDescent="0.25">
      <c r="A14" s="25" t="s">
        <v>61</v>
      </c>
      <c r="B14" s="240">
        <v>46315</v>
      </c>
      <c r="C14" s="55"/>
      <c r="D14" s="55"/>
      <c r="E14" s="55"/>
      <c r="F14" s="55"/>
      <c r="G14" s="55"/>
      <c r="H14" s="55"/>
      <c r="I14" s="12"/>
      <c r="J14" s="13"/>
      <c r="K14" s="26"/>
    </row>
    <row r="15" spans="1:12" customFormat="1" ht="13.5" thickBot="1" x14ac:dyDescent="0.25">
      <c r="A15" s="58" t="s">
        <v>82</v>
      </c>
      <c r="B15" s="238" t="s">
        <v>159</v>
      </c>
      <c r="C15" s="59"/>
      <c r="D15" s="59"/>
      <c r="E15" s="59"/>
      <c r="F15" s="59"/>
      <c r="G15" s="59"/>
      <c r="H15" s="59"/>
      <c r="I15" s="60"/>
      <c r="J15" s="61"/>
      <c r="K15" s="24"/>
    </row>
    <row r="16" spans="1:12" ht="33.75" customHeight="1" x14ac:dyDescent="0.2">
      <c r="A16" s="248" t="s">
        <v>0</v>
      </c>
      <c r="B16" s="249"/>
      <c r="C16" s="250" t="s">
        <v>86</v>
      </c>
      <c r="D16" s="251"/>
      <c r="E16" s="252"/>
      <c r="F16" s="249" t="s">
        <v>1</v>
      </c>
      <c r="G16" s="249"/>
      <c r="H16" s="249"/>
      <c r="I16" s="253" t="s">
        <v>2</v>
      </c>
      <c r="J16" s="254"/>
      <c r="K16" s="254"/>
      <c r="L16" s="254"/>
    </row>
    <row r="17" spans="1:12" s="5" customFormat="1" x14ac:dyDescent="0.2">
      <c r="A17" s="27" t="s">
        <v>3</v>
      </c>
      <c r="B17" s="4" t="s">
        <v>4</v>
      </c>
      <c r="C17" s="4" t="s">
        <v>83</v>
      </c>
      <c r="D17" s="4" t="s">
        <v>84</v>
      </c>
      <c r="E17" s="4" t="s">
        <v>85</v>
      </c>
      <c r="F17" s="4" t="s">
        <v>83</v>
      </c>
      <c r="G17" s="4" t="s">
        <v>84</v>
      </c>
      <c r="H17" s="4" t="s">
        <v>85</v>
      </c>
      <c r="I17" s="4" t="s">
        <v>83</v>
      </c>
      <c r="J17" s="4" t="s">
        <v>84</v>
      </c>
      <c r="K17" s="4" t="s">
        <v>85</v>
      </c>
      <c r="L17" s="4" t="s">
        <v>88</v>
      </c>
    </row>
    <row r="18" spans="1:12" x14ac:dyDescent="0.2">
      <c r="A18" s="243" t="s">
        <v>135</v>
      </c>
      <c r="B18" s="244"/>
      <c r="C18" s="18"/>
      <c r="D18" s="18"/>
      <c r="E18" s="18"/>
      <c r="F18" s="18"/>
      <c r="G18" s="18"/>
      <c r="H18" s="18"/>
      <c r="I18" s="18"/>
      <c r="J18" s="18"/>
      <c r="K18" s="28"/>
      <c r="L18" s="28"/>
    </row>
    <row r="19" spans="1:12" x14ac:dyDescent="0.2">
      <c r="A19" s="29">
        <v>11101</v>
      </c>
      <c r="B19" s="14" t="s">
        <v>133</v>
      </c>
      <c r="C19" s="15">
        <v>4</v>
      </c>
      <c r="D19" s="15">
        <v>10</v>
      </c>
      <c r="E19" s="15">
        <v>20</v>
      </c>
      <c r="G19" s="1">
        <v>1</v>
      </c>
      <c r="I19" s="16">
        <f>C19*F19</f>
        <v>0</v>
      </c>
      <c r="J19" s="16">
        <f>D19*G19</f>
        <v>10</v>
      </c>
      <c r="K19" s="63">
        <f>E19*H19</f>
        <v>0</v>
      </c>
      <c r="L19" s="2">
        <f>I19+J19+K19</f>
        <v>10</v>
      </c>
    </row>
    <row r="20" spans="1:12" x14ac:dyDescent="0.2">
      <c r="A20" s="29">
        <v>11102</v>
      </c>
      <c r="B20" s="14" t="s">
        <v>134</v>
      </c>
      <c r="C20" s="6">
        <v>2</v>
      </c>
      <c r="D20" s="6">
        <v>4</v>
      </c>
      <c r="E20" s="6">
        <v>8</v>
      </c>
      <c r="G20" s="1">
        <v>1</v>
      </c>
      <c r="I20" s="16">
        <f t="shared" ref="I20:I28" si="0">C20*F20</f>
        <v>0</v>
      </c>
      <c r="J20" s="16">
        <f t="shared" ref="J20:J28" si="1">D20*G20</f>
        <v>4</v>
      </c>
      <c r="K20" s="63">
        <f t="shared" ref="K20:K28" si="2">E20*H20</f>
        <v>0</v>
      </c>
      <c r="L20" s="2">
        <f t="shared" ref="L20:L28" si="3">I20+J20+K20</f>
        <v>4</v>
      </c>
    </row>
    <row r="21" spans="1:12" x14ac:dyDescent="0.2">
      <c r="A21" s="29">
        <v>11103</v>
      </c>
      <c r="B21" s="14" t="s">
        <v>14</v>
      </c>
      <c r="C21" s="6">
        <v>2</v>
      </c>
      <c r="D21" s="6">
        <v>4</v>
      </c>
      <c r="E21" s="6">
        <v>8</v>
      </c>
      <c r="G21" s="1">
        <v>1</v>
      </c>
      <c r="I21" s="16">
        <f>C21*F21</f>
        <v>0</v>
      </c>
      <c r="J21" s="16">
        <f t="shared" si="1"/>
        <v>4</v>
      </c>
      <c r="K21" s="63">
        <f>E21*H21</f>
        <v>0</v>
      </c>
      <c r="L21" s="2">
        <f t="shared" si="3"/>
        <v>4</v>
      </c>
    </row>
    <row r="22" spans="1:12" x14ac:dyDescent="0.2">
      <c r="A22" s="243" t="s">
        <v>136</v>
      </c>
      <c r="B22" s="244"/>
      <c r="C22" s="17"/>
      <c r="D22" s="17"/>
      <c r="E22" s="17"/>
      <c r="F22" s="18"/>
      <c r="G22" s="18"/>
      <c r="H22" s="18"/>
      <c r="I22" s="18"/>
      <c r="J22" s="18"/>
      <c r="K22" s="18"/>
      <c r="L22" s="18"/>
    </row>
    <row r="23" spans="1:12" x14ac:dyDescent="0.2">
      <c r="A23" s="29">
        <v>12101</v>
      </c>
      <c r="B23" s="14" t="s">
        <v>136</v>
      </c>
      <c r="C23" s="15">
        <v>4</v>
      </c>
      <c r="D23" s="15">
        <v>10</v>
      </c>
      <c r="E23" s="15">
        <v>20</v>
      </c>
      <c r="I23" s="16">
        <f t="shared" si="0"/>
        <v>0</v>
      </c>
      <c r="J23" s="16">
        <f t="shared" si="1"/>
        <v>0</v>
      </c>
      <c r="K23" s="63">
        <f t="shared" si="2"/>
        <v>0</v>
      </c>
      <c r="L23" s="2">
        <f t="shared" si="3"/>
        <v>0</v>
      </c>
    </row>
    <row r="24" spans="1:12" x14ac:dyDescent="0.2">
      <c r="A24" s="243" t="s">
        <v>137</v>
      </c>
      <c r="B24" s="244"/>
      <c r="C24" s="17"/>
      <c r="D24" s="17"/>
      <c r="E24" s="17"/>
      <c r="F24" s="18"/>
      <c r="G24" s="18"/>
      <c r="H24" s="18"/>
      <c r="I24" s="18"/>
      <c r="J24" s="18"/>
      <c r="K24" s="18"/>
      <c r="L24" s="18"/>
    </row>
    <row r="25" spans="1:12" x14ac:dyDescent="0.2">
      <c r="A25" s="29">
        <v>13101</v>
      </c>
      <c r="B25" s="14" t="s">
        <v>138</v>
      </c>
      <c r="C25" s="15">
        <v>40</v>
      </c>
      <c r="D25" s="15">
        <v>80</v>
      </c>
      <c r="E25" s="15">
        <v>120</v>
      </c>
      <c r="G25" s="1">
        <v>1</v>
      </c>
      <c r="I25" s="16">
        <f t="shared" si="0"/>
        <v>0</v>
      </c>
      <c r="J25" s="16">
        <f t="shared" si="1"/>
        <v>80</v>
      </c>
      <c r="K25" s="63">
        <f t="shared" si="2"/>
        <v>0</v>
      </c>
      <c r="L25" s="2">
        <f t="shared" si="3"/>
        <v>80</v>
      </c>
    </row>
    <row r="26" spans="1:12" x14ac:dyDescent="0.2">
      <c r="A26" s="243" t="s">
        <v>5</v>
      </c>
      <c r="B26" s="244"/>
      <c r="C26" s="17"/>
      <c r="D26" s="17" t="s">
        <v>87</v>
      </c>
      <c r="E26" s="17" t="s">
        <v>87</v>
      </c>
      <c r="F26" s="18"/>
      <c r="G26" s="18"/>
      <c r="H26" s="18"/>
      <c r="I26" s="18"/>
      <c r="J26" s="18"/>
      <c r="K26" s="18"/>
      <c r="L26" s="18"/>
    </row>
    <row r="27" spans="1:12" x14ac:dyDescent="0.2">
      <c r="A27" s="29">
        <v>14101</v>
      </c>
      <c r="B27" s="14" t="s">
        <v>139</v>
      </c>
      <c r="C27" s="15">
        <v>4</v>
      </c>
      <c r="D27" s="15">
        <v>10</v>
      </c>
      <c r="E27" s="15">
        <v>40</v>
      </c>
      <c r="I27" s="16">
        <f t="shared" si="0"/>
        <v>0</v>
      </c>
      <c r="J27" s="16">
        <f t="shared" si="1"/>
        <v>0</v>
      </c>
      <c r="K27" s="63">
        <f t="shared" si="2"/>
        <v>0</v>
      </c>
      <c r="L27" s="2">
        <f t="shared" si="3"/>
        <v>0</v>
      </c>
    </row>
    <row r="28" spans="1:12" x14ac:dyDescent="0.2">
      <c r="A28" s="29">
        <v>14102</v>
      </c>
      <c r="B28" s="14" t="s">
        <v>140</v>
      </c>
      <c r="C28" s="6">
        <v>4</v>
      </c>
      <c r="D28" s="6">
        <v>10</v>
      </c>
      <c r="E28" s="6">
        <v>40</v>
      </c>
      <c r="I28" s="16">
        <f t="shared" si="0"/>
        <v>0</v>
      </c>
      <c r="J28" s="16">
        <f t="shared" si="1"/>
        <v>0</v>
      </c>
      <c r="K28" s="63">
        <f t="shared" si="2"/>
        <v>0</v>
      </c>
      <c r="L28" s="2">
        <f t="shared" si="3"/>
        <v>0</v>
      </c>
    </row>
    <row r="29" spans="1:12" ht="13.5" thickBot="1" x14ac:dyDescent="0.25">
      <c r="A29" s="66" t="str">
        <f>"Tamaño:"&amp;B15</f>
        <v>Tamaño:E-01 Consulta y personalización de productos</v>
      </c>
      <c r="B29" s="62"/>
      <c r="C29" s="67"/>
      <c r="D29" s="67"/>
      <c r="E29" s="67"/>
      <c r="F29" s="44">
        <f>SUM(F19:F28)</f>
        <v>0</v>
      </c>
      <c r="G29" s="44">
        <f>SUM(G18:G28)</f>
        <v>4</v>
      </c>
      <c r="H29" s="44">
        <f>SUM(H19:H28)</f>
        <v>0</v>
      </c>
      <c r="I29" s="68">
        <f>SUM(I18:I28)</f>
        <v>0</v>
      </c>
      <c r="J29" s="68">
        <f>SUM(J18:J28)</f>
        <v>98</v>
      </c>
      <c r="K29" s="69">
        <f>SUM(K18:K28)</f>
        <v>0</v>
      </c>
      <c r="L29" s="69">
        <f>SUM(L19:L28)</f>
        <v>98</v>
      </c>
    </row>
    <row r="30" spans="1:12" ht="13.5" thickBot="1" x14ac:dyDescent="0.25">
      <c r="A30" s="7"/>
      <c r="B30" s="70"/>
      <c r="C30" s="71"/>
      <c r="D30" s="71"/>
      <c r="E30" s="71"/>
      <c r="F30" s="7"/>
      <c r="G30" s="7"/>
      <c r="H30" s="7"/>
      <c r="I30" s="7"/>
      <c r="J30" s="7"/>
      <c r="K30" s="7"/>
      <c r="L30" s="57"/>
    </row>
    <row r="31" spans="1:12" ht="13.5" thickBot="1" x14ac:dyDescent="0.25">
      <c r="A31" s="64" t="s">
        <v>89</v>
      </c>
      <c r="B31" s="72"/>
      <c r="C31" s="72"/>
      <c r="D31" s="72"/>
      <c r="E31" s="72"/>
      <c r="F31" s="74" t="s">
        <v>79</v>
      </c>
      <c r="G31" s="72"/>
      <c r="H31" s="72"/>
      <c r="I31" s="76">
        <f>I29*Complejidad!$G$25</f>
        <v>0</v>
      </c>
      <c r="J31" s="77">
        <f>J29*Complejidad!$G$25</f>
        <v>98</v>
      </c>
      <c r="K31" s="78">
        <f>K29*Complejidad!$G$25</f>
        <v>0</v>
      </c>
      <c r="L31" s="78">
        <f>L29*Complejidad!$G$25</f>
        <v>98</v>
      </c>
    </row>
    <row r="32" spans="1:12" ht="12" thickBot="1" x14ac:dyDescent="0.25"/>
    <row r="33" spans="1:12" ht="13.5" thickBot="1" x14ac:dyDescent="0.25">
      <c r="A33" s="64" t="s">
        <v>77</v>
      </c>
      <c r="B33" s="72"/>
      <c r="C33" s="81">
        <f>Complejidad!D27</f>
        <v>1</v>
      </c>
      <c r="D33" s="73"/>
      <c r="E33" s="73"/>
      <c r="F33" s="74" t="s">
        <v>78</v>
      </c>
      <c r="G33" s="72"/>
      <c r="H33" s="72"/>
      <c r="I33" s="72"/>
      <c r="J33" s="72"/>
      <c r="K33" s="72"/>
      <c r="L33" s="65"/>
    </row>
    <row r="34" spans="1:12" ht="13.5" thickBot="1" x14ac:dyDescent="0.25">
      <c r="A34" s="7"/>
      <c r="B34" s="57"/>
      <c r="C34" s="71"/>
      <c r="D34" s="71"/>
      <c r="E34" s="71"/>
      <c r="F34" s="75"/>
      <c r="G34" s="57"/>
      <c r="H34" s="57"/>
      <c r="I34" s="57"/>
      <c r="J34" s="57"/>
      <c r="K34" s="57"/>
      <c r="L34" s="57"/>
    </row>
    <row r="35" spans="1:12" ht="18.75" thickBot="1" x14ac:dyDescent="0.3">
      <c r="A35" s="64" t="s">
        <v>76</v>
      </c>
      <c r="B35" s="79"/>
      <c r="C35" s="72"/>
      <c r="D35" s="72"/>
      <c r="E35" s="72"/>
      <c r="F35" s="74" t="s">
        <v>79</v>
      </c>
      <c r="G35" s="72"/>
      <c r="H35" s="65"/>
      <c r="I35" s="80">
        <f>I31/$C$33</f>
        <v>0</v>
      </c>
      <c r="J35" s="77">
        <f>J31/$C$33</f>
        <v>98</v>
      </c>
      <c r="K35" s="78">
        <f>K31/$C$33</f>
        <v>0</v>
      </c>
      <c r="L35" s="148">
        <f>L31/$C$33</f>
        <v>98</v>
      </c>
    </row>
    <row r="52" spans="13:13" ht="12.75" x14ac:dyDescent="0.2">
      <c r="M52" s="57"/>
    </row>
    <row r="53" spans="13:13" ht="12.75" x14ac:dyDescent="0.2">
      <c r="M53" s="57"/>
    </row>
    <row r="56" spans="13:13" ht="12.75" x14ac:dyDescent="0.2">
      <c r="M56" s="57"/>
    </row>
    <row r="57" spans="13:13" ht="12.75" x14ac:dyDescent="0.2">
      <c r="M57" s="57"/>
    </row>
    <row r="58" spans="13:13" ht="12.75" x14ac:dyDescent="0.2">
      <c r="M58" s="57"/>
    </row>
    <row r="79" spans="1:13" s="57" customFormat="1" ht="12.75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1:13" s="57" customFormat="1" ht="12.75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3" spans="1:13" s="57" customFormat="1" ht="12.75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1:13" s="57" customFormat="1" ht="12.75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1:13" s="57" customFormat="1" ht="12.75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</sheetData>
  <dataConsolidate/>
  <mergeCells count="9">
    <mergeCell ref="A26:B26"/>
    <mergeCell ref="A18:B18"/>
    <mergeCell ref="A22:B22"/>
    <mergeCell ref="A16:B16"/>
    <mergeCell ref="A11:J11"/>
    <mergeCell ref="A24:B24"/>
    <mergeCell ref="C16:E16"/>
    <mergeCell ref="I16:L16"/>
    <mergeCell ref="F16:H16"/>
  </mergeCells>
  <phoneticPr fontId="0" type="noConversion"/>
  <printOptions horizontalCentered="1"/>
  <pageMargins left="0.31496062992125984" right="0.31496062992125984" top="1.0208333333333333" bottom="0.98425196850393704" header="0.35433070866141736" footer="0.35433070866141736"/>
  <pageSetup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9</xdr:col>
                <xdr:colOff>504825</xdr:colOff>
                <xdr:row>15</xdr:row>
                <xdr:rowOff>0</xdr:rowOff>
              </from>
              <to>
                <xdr:col>11</xdr:col>
                <xdr:colOff>0</xdr:colOff>
                <xdr:row>15</xdr:row>
                <xdr:rowOff>9525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pageSetUpPr fitToPage="1"/>
  </sheetPr>
  <dimension ref="A1:L85"/>
  <sheetViews>
    <sheetView view="pageLayout" topLeftCell="A11" zoomScale="160" zoomScaleNormal="100" zoomScalePageLayoutView="160" workbookViewId="0">
      <selection activeCell="F20" sqref="F20"/>
    </sheetView>
  </sheetViews>
  <sheetFormatPr baseColWidth="10" defaultColWidth="9.140625" defaultRowHeight="11.25" x14ac:dyDescent="0.2"/>
  <cols>
    <col min="1" max="1" width="8.85546875" style="1" customWidth="1"/>
    <col min="2" max="2" width="22" style="1" customWidth="1"/>
    <col min="3" max="5" width="12.28515625" style="1" customWidth="1"/>
    <col min="6" max="7" width="8.140625" style="1" customWidth="1"/>
    <col min="8" max="8" width="9.85546875" style="1" customWidth="1"/>
    <col min="9" max="10" width="8.140625" style="1" customWidth="1"/>
    <col min="11" max="11" width="9.7109375" style="1" customWidth="1"/>
    <col min="12" max="16384" width="9.140625" style="1"/>
  </cols>
  <sheetData>
    <row r="1" spans="1:12" x14ac:dyDescent="0.2">
      <c r="A1" s="19" t="s">
        <v>71</v>
      </c>
    </row>
    <row r="3" spans="1:12" x14ac:dyDescent="0.2">
      <c r="A3" s="1" t="s">
        <v>67</v>
      </c>
    </row>
    <row r="4" spans="1:12" x14ac:dyDescent="0.2">
      <c r="A4" s="1" t="s">
        <v>63</v>
      </c>
    </row>
    <row r="5" spans="1:12" x14ac:dyDescent="0.2">
      <c r="A5" s="1" t="s">
        <v>62</v>
      </c>
    </row>
    <row r="6" spans="1:12" x14ac:dyDescent="0.2">
      <c r="A6" s="1" t="s">
        <v>68</v>
      </c>
    </row>
    <row r="7" spans="1:12" x14ac:dyDescent="0.2">
      <c r="A7" s="1" t="s">
        <v>69</v>
      </c>
    </row>
    <row r="8" spans="1:12" x14ac:dyDescent="0.2">
      <c r="A8" s="1" t="s">
        <v>70</v>
      </c>
    </row>
    <row r="9" spans="1:12" x14ac:dyDescent="0.2">
      <c r="A9" s="1" t="s">
        <v>72</v>
      </c>
    </row>
    <row r="10" spans="1:12" ht="12" thickBot="1" x14ac:dyDescent="0.25"/>
    <row r="11" spans="1:12" customFormat="1" ht="12.75" x14ac:dyDescent="0.2">
      <c r="A11" s="245" t="s">
        <v>65</v>
      </c>
      <c r="B11" s="246"/>
      <c r="C11" s="246"/>
      <c r="D11" s="246"/>
      <c r="E11" s="246"/>
      <c r="F11" s="246"/>
      <c r="G11" s="246"/>
      <c r="H11" s="246"/>
      <c r="I11" s="246"/>
      <c r="J11" s="247"/>
      <c r="K11" s="20"/>
    </row>
    <row r="12" spans="1:12" customFormat="1" ht="12.75" x14ac:dyDescent="0.2">
      <c r="A12" s="21" t="s">
        <v>60</v>
      </c>
      <c r="B12" s="53" t="s">
        <v>155</v>
      </c>
      <c r="C12" s="54"/>
      <c r="D12" s="54"/>
      <c r="E12" s="54"/>
      <c r="F12" s="54"/>
      <c r="G12" s="54"/>
      <c r="H12" s="54"/>
      <c r="I12" s="11"/>
      <c r="J12" s="13"/>
      <c r="K12" s="22"/>
    </row>
    <row r="13" spans="1:12" customFormat="1" ht="12.75" x14ac:dyDescent="0.2">
      <c r="A13" s="23" t="s">
        <v>59</v>
      </c>
      <c r="B13" s="239" t="s">
        <v>156</v>
      </c>
      <c r="C13" s="55"/>
      <c r="D13" s="55"/>
      <c r="E13" s="55"/>
      <c r="F13" s="55"/>
      <c r="G13" s="55"/>
      <c r="H13" s="55"/>
      <c r="I13" s="12"/>
      <c r="J13" s="13"/>
      <c r="K13" s="24"/>
    </row>
    <row r="14" spans="1:12" customFormat="1" ht="13.5" thickBot="1" x14ac:dyDescent="0.25">
      <c r="A14" s="25" t="s">
        <v>61</v>
      </c>
      <c r="B14" s="240">
        <v>46315</v>
      </c>
      <c r="C14" s="55"/>
      <c r="D14" s="55"/>
      <c r="E14" s="55"/>
      <c r="F14" s="55"/>
      <c r="G14" s="55"/>
      <c r="H14" s="55"/>
      <c r="I14" s="12"/>
      <c r="J14" s="13"/>
      <c r="K14" s="26"/>
    </row>
    <row r="15" spans="1:12" customFormat="1" ht="13.5" thickBot="1" x14ac:dyDescent="0.25">
      <c r="A15" s="58" t="s">
        <v>82</v>
      </c>
      <c r="B15" s="238" t="s">
        <v>160</v>
      </c>
      <c r="C15" s="59"/>
      <c r="D15" s="59"/>
      <c r="E15" s="59"/>
      <c r="F15" s="59"/>
      <c r="G15" s="59"/>
      <c r="H15" s="59"/>
      <c r="I15" s="60"/>
      <c r="J15" s="61"/>
      <c r="K15" s="24"/>
    </row>
    <row r="16" spans="1:12" ht="33.75" customHeight="1" x14ac:dyDescent="0.2">
      <c r="A16" s="248" t="s">
        <v>0</v>
      </c>
      <c r="B16" s="249"/>
      <c r="C16" s="250" t="s">
        <v>86</v>
      </c>
      <c r="D16" s="251"/>
      <c r="E16" s="252"/>
      <c r="F16" s="249" t="s">
        <v>1</v>
      </c>
      <c r="G16" s="249"/>
      <c r="H16" s="249"/>
      <c r="I16" s="253" t="s">
        <v>2</v>
      </c>
      <c r="J16" s="254"/>
      <c r="K16" s="254"/>
      <c r="L16" s="254"/>
    </row>
    <row r="17" spans="1:12" s="5" customFormat="1" x14ac:dyDescent="0.2">
      <c r="A17" s="27" t="s">
        <v>3</v>
      </c>
      <c r="B17" s="4" t="s">
        <v>4</v>
      </c>
      <c r="C17" s="4" t="s">
        <v>83</v>
      </c>
      <c r="D17" s="4" t="s">
        <v>84</v>
      </c>
      <c r="E17" s="4" t="s">
        <v>85</v>
      </c>
      <c r="F17" s="4" t="s">
        <v>83</v>
      </c>
      <c r="G17" s="4" t="s">
        <v>84</v>
      </c>
      <c r="H17" s="4" t="s">
        <v>85</v>
      </c>
      <c r="I17" s="4" t="s">
        <v>83</v>
      </c>
      <c r="J17" s="4" t="s">
        <v>84</v>
      </c>
      <c r="K17" s="4" t="s">
        <v>85</v>
      </c>
      <c r="L17" s="4" t="s">
        <v>88</v>
      </c>
    </row>
    <row r="18" spans="1:12" x14ac:dyDescent="0.2">
      <c r="A18" s="243" t="s">
        <v>135</v>
      </c>
      <c r="B18" s="244"/>
      <c r="C18" s="18"/>
      <c r="D18" s="18"/>
      <c r="E18" s="18"/>
      <c r="F18" s="18"/>
      <c r="G18" s="18"/>
      <c r="H18" s="18"/>
      <c r="I18" s="18"/>
      <c r="J18" s="18"/>
      <c r="K18" s="28"/>
      <c r="L18" s="28"/>
    </row>
    <row r="19" spans="1:12" x14ac:dyDescent="0.2">
      <c r="A19" s="29">
        <v>11101</v>
      </c>
      <c r="B19" s="14" t="s">
        <v>133</v>
      </c>
      <c r="C19" s="15">
        <v>4</v>
      </c>
      <c r="D19" s="15">
        <v>10</v>
      </c>
      <c r="E19" s="15">
        <v>20</v>
      </c>
      <c r="G19" s="1">
        <v>2</v>
      </c>
      <c r="I19" s="16">
        <f>C19*F19</f>
        <v>0</v>
      </c>
      <c r="J19" s="16">
        <f>D19*G19</f>
        <v>20</v>
      </c>
      <c r="K19" s="63">
        <f>E19*H19</f>
        <v>0</v>
      </c>
      <c r="L19" s="2">
        <f>I19+J19+K19</f>
        <v>20</v>
      </c>
    </row>
    <row r="20" spans="1:12" x14ac:dyDescent="0.2">
      <c r="A20" s="29">
        <v>11102</v>
      </c>
      <c r="B20" s="14" t="s">
        <v>134</v>
      </c>
      <c r="C20" s="6">
        <v>2</v>
      </c>
      <c r="D20" s="6">
        <v>4</v>
      </c>
      <c r="E20" s="6">
        <v>8</v>
      </c>
      <c r="G20" s="1">
        <v>1</v>
      </c>
      <c r="I20" s="16">
        <f t="shared" ref="I20:K28" si="0">C20*F20</f>
        <v>0</v>
      </c>
      <c r="J20" s="16">
        <f t="shared" si="0"/>
        <v>4</v>
      </c>
      <c r="K20" s="63">
        <f t="shared" si="0"/>
        <v>0</v>
      </c>
      <c r="L20" s="2">
        <f t="shared" ref="L20:L28" si="1">I20+J20+K20</f>
        <v>4</v>
      </c>
    </row>
    <row r="21" spans="1:12" x14ac:dyDescent="0.2">
      <c r="A21" s="29">
        <v>11103</v>
      </c>
      <c r="B21" s="14" t="s">
        <v>14</v>
      </c>
      <c r="C21" s="6">
        <v>2</v>
      </c>
      <c r="D21" s="6">
        <v>4</v>
      </c>
      <c r="E21" s="6">
        <v>8</v>
      </c>
      <c r="I21" s="16">
        <f t="shared" si="0"/>
        <v>0</v>
      </c>
      <c r="J21" s="16">
        <f t="shared" si="0"/>
        <v>0</v>
      </c>
      <c r="K21" s="63">
        <f t="shared" si="0"/>
        <v>0</v>
      </c>
      <c r="L21" s="2">
        <f t="shared" si="1"/>
        <v>0</v>
      </c>
    </row>
    <row r="22" spans="1:12" x14ac:dyDescent="0.2">
      <c r="A22" s="243" t="s">
        <v>136</v>
      </c>
      <c r="B22" s="244"/>
      <c r="C22" s="17"/>
      <c r="D22" s="17"/>
      <c r="E22" s="17"/>
      <c r="F22" s="18"/>
      <c r="G22" s="18"/>
      <c r="H22" s="18"/>
      <c r="I22" s="18"/>
      <c r="J22" s="18"/>
      <c r="K22" s="18"/>
      <c r="L22" s="18"/>
    </row>
    <row r="23" spans="1:12" x14ac:dyDescent="0.2">
      <c r="A23" s="29">
        <v>12101</v>
      </c>
      <c r="B23" s="14" t="s">
        <v>136</v>
      </c>
      <c r="C23" s="15">
        <v>4</v>
      </c>
      <c r="D23" s="15">
        <v>10</v>
      </c>
      <c r="E23" s="15">
        <v>20</v>
      </c>
      <c r="I23" s="16">
        <f t="shared" si="0"/>
        <v>0</v>
      </c>
      <c r="J23" s="16">
        <f t="shared" si="0"/>
        <v>0</v>
      </c>
      <c r="K23" s="63">
        <f t="shared" si="0"/>
        <v>0</v>
      </c>
      <c r="L23" s="2">
        <f t="shared" si="1"/>
        <v>0</v>
      </c>
    </row>
    <row r="24" spans="1:12" x14ac:dyDescent="0.2">
      <c r="A24" s="243" t="s">
        <v>137</v>
      </c>
      <c r="B24" s="244"/>
      <c r="C24" s="17"/>
      <c r="D24" s="17"/>
      <c r="E24" s="17"/>
      <c r="F24" s="18"/>
      <c r="G24" s="18"/>
      <c r="H24" s="18"/>
      <c r="I24" s="18"/>
      <c r="J24" s="18"/>
      <c r="K24" s="18"/>
      <c r="L24" s="18"/>
    </row>
    <row r="25" spans="1:12" x14ac:dyDescent="0.2">
      <c r="A25" s="29">
        <v>13101</v>
      </c>
      <c r="B25" s="14" t="s">
        <v>138</v>
      </c>
      <c r="C25" s="15">
        <v>40</v>
      </c>
      <c r="D25" s="15">
        <v>80</v>
      </c>
      <c r="E25" s="15">
        <v>120</v>
      </c>
      <c r="G25" s="1">
        <v>1</v>
      </c>
      <c r="I25" s="16">
        <f t="shared" si="0"/>
        <v>0</v>
      </c>
      <c r="J25" s="16">
        <f t="shared" si="0"/>
        <v>80</v>
      </c>
      <c r="K25" s="63">
        <f t="shared" si="0"/>
        <v>0</v>
      </c>
      <c r="L25" s="2">
        <f t="shared" si="1"/>
        <v>80</v>
      </c>
    </row>
    <row r="26" spans="1:12" x14ac:dyDescent="0.2">
      <c r="A26" s="243" t="s">
        <v>5</v>
      </c>
      <c r="B26" s="244"/>
      <c r="C26" s="17"/>
      <c r="D26" s="17" t="s">
        <v>87</v>
      </c>
      <c r="E26" s="17" t="s">
        <v>87</v>
      </c>
      <c r="F26" s="18"/>
      <c r="G26" s="18"/>
      <c r="H26" s="18"/>
      <c r="I26" s="18"/>
      <c r="J26" s="18"/>
      <c r="K26" s="18"/>
      <c r="L26" s="18"/>
    </row>
    <row r="27" spans="1:12" x14ac:dyDescent="0.2">
      <c r="A27" s="29">
        <v>14101</v>
      </c>
      <c r="B27" s="14" t="s">
        <v>139</v>
      </c>
      <c r="C27" s="15">
        <v>4</v>
      </c>
      <c r="D27" s="15">
        <v>10</v>
      </c>
      <c r="E27" s="15">
        <v>40</v>
      </c>
      <c r="I27" s="16">
        <f t="shared" si="0"/>
        <v>0</v>
      </c>
      <c r="J27" s="16">
        <f t="shared" si="0"/>
        <v>0</v>
      </c>
      <c r="K27" s="63">
        <f t="shared" si="0"/>
        <v>0</v>
      </c>
      <c r="L27" s="2">
        <f t="shared" si="1"/>
        <v>0</v>
      </c>
    </row>
    <row r="28" spans="1:12" x14ac:dyDescent="0.2">
      <c r="A28" s="29">
        <v>14102</v>
      </c>
      <c r="B28" s="14" t="s">
        <v>140</v>
      </c>
      <c r="C28" s="6">
        <v>4</v>
      </c>
      <c r="D28" s="6">
        <v>10</v>
      </c>
      <c r="E28" s="6">
        <v>40</v>
      </c>
      <c r="I28" s="16">
        <f t="shared" si="0"/>
        <v>0</v>
      </c>
      <c r="J28" s="16">
        <f t="shared" si="0"/>
        <v>0</v>
      </c>
      <c r="K28" s="63">
        <f t="shared" si="0"/>
        <v>0</v>
      </c>
      <c r="L28" s="2">
        <f t="shared" si="1"/>
        <v>0</v>
      </c>
    </row>
    <row r="29" spans="1:12" ht="13.5" thickBot="1" x14ac:dyDescent="0.25">
      <c r="A29" s="66" t="str">
        <f>"Tamaño:"&amp;B15</f>
        <v>Tamaño:E-02 Registro y gestión de pedidos</v>
      </c>
      <c r="B29" s="62"/>
      <c r="C29" s="67"/>
      <c r="D29" s="67"/>
      <c r="E29" s="67"/>
      <c r="F29" s="44">
        <f>SUM(F19:F28)</f>
        <v>0</v>
      </c>
      <c r="G29" s="44">
        <f>SUM(G18:G28)</f>
        <v>4</v>
      </c>
      <c r="H29" s="44">
        <f>SUM(H19:H28)</f>
        <v>0</v>
      </c>
      <c r="I29" s="68">
        <f>SUM(I18:I28)</f>
        <v>0</v>
      </c>
      <c r="J29" s="68">
        <f>SUM(J18:J28)</f>
        <v>104</v>
      </c>
      <c r="K29" s="69">
        <f>SUM(K18:K28)</f>
        <v>0</v>
      </c>
      <c r="L29" s="69">
        <f>SUM(L19:L28)</f>
        <v>104</v>
      </c>
    </row>
    <row r="30" spans="1:12" ht="13.5" thickBot="1" x14ac:dyDescent="0.25">
      <c r="A30" s="7"/>
      <c r="B30" s="70"/>
      <c r="C30" s="71"/>
      <c r="D30" s="71"/>
      <c r="E30" s="71"/>
      <c r="F30" s="7"/>
      <c r="G30" s="7"/>
      <c r="H30" s="7"/>
      <c r="I30" s="7"/>
      <c r="J30" s="7"/>
      <c r="K30" s="7"/>
      <c r="L30" s="57"/>
    </row>
    <row r="31" spans="1:12" ht="13.5" thickBot="1" x14ac:dyDescent="0.25">
      <c r="A31" s="64" t="s">
        <v>89</v>
      </c>
      <c r="B31" s="72"/>
      <c r="C31" s="72"/>
      <c r="D31" s="72"/>
      <c r="E31" s="72"/>
      <c r="F31" s="74" t="s">
        <v>79</v>
      </c>
      <c r="G31" s="72"/>
      <c r="H31" s="72"/>
      <c r="I31" s="76">
        <f>I29*Complejidad!$G$25</f>
        <v>0</v>
      </c>
      <c r="J31" s="77">
        <f>J29*Complejidad!$G$25</f>
        <v>104</v>
      </c>
      <c r="K31" s="78">
        <f>K29*Complejidad!$G$25</f>
        <v>0</v>
      </c>
      <c r="L31" s="78">
        <f>L29*Complejidad!$G$25</f>
        <v>104</v>
      </c>
    </row>
    <row r="32" spans="1:12" ht="12" thickBot="1" x14ac:dyDescent="0.25"/>
    <row r="33" spans="1:12" ht="13.5" thickBot="1" x14ac:dyDescent="0.25">
      <c r="A33" s="64" t="s">
        <v>77</v>
      </c>
      <c r="B33" s="72"/>
      <c r="C33" s="81">
        <f>Complejidad!D27</f>
        <v>1</v>
      </c>
      <c r="D33" s="73"/>
      <c r="E33" s="73"/>
      <c r="F33" s="74" t="s">
        <v>78</v>
      </c>
      <c r="G33" s="72"/>
      <c r="H33" s="72"/>
      <c r="I33" s="72"/>
      <c r="J33" s="72"/>
      <c r="K33" s="72"/>
      <c r="L33" s="65"/>
    </row>
    <row r="34" spans="1:12" ht="13.5" thickBot="1" x14ac:dyDescent="0.25">
      <c r="A34" s="7"/>
      <c r="B34" s="57"/>
      <c r="C34" s="71"/>
      <c r="D34" s="71"/>
      <c r="E34" s="71"/>
      <c r="F34" s="75"/>
      <c r="G34" s="57"/>
      <c r="H34" s="57"/>
      <c r="I34" s="57"/>
      <c r="J34" s="57"/>
      <c r="K34" s="57"/>
      <c r="L34" s="57"/>
    </row>
    <row r="35" spans="1:12" ht="18.75" thickBot="1" x14ac:dyDescent="0.3">
      <c r="A35" s="64" t="s">
        <v>76</v>
      </c>
      <c r="B35" s="79"/>
      <c r="C35" s="72"/>
      <c r="D35" s="72"/>
      <c r="E35" s="72"/>
      <c r="F35" s="74" t="s">
        <v>79</v>
      </c>
      <c r="G35" s="72"/>
      <c r="H35" s="65"/>
      <c r="I35" s="80">
        <f>I31/$C$33</f>
        <v>0</v>
      </c>
      <c r="J35" s="77">
        <f>J31/$C$33</f>
        <v>104</v>
      </c>
      <c r="K35" s="78">
        <f>K31/$C$33</f>
        <v>0</v>
      </c>
      <c r="L35" s="148">
        <f>L31/$C$33</f>
        <v>104</v>
      </c>
    </row>
    <row r="70" spans="1:12" ht="0.75" customHeight="1" x14ac:dyDescent="0.2"/>
    <row r="79" spans="1:12" s="57" customFormat="1" ht="12.75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s="57" customFormat="1" ht="12.75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3" spans="1:12" s="57" customFormat="1" ht="12.75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 s="57" customFormat="1" ht="12.75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s="57" customFormat="1" ht="12.75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</sheetData>
  <dataConsolidate/>
  <mergeCells count="9">
    <mergeCell ref="A24:B24"/>
    <mergeCell ref="A26:B26"/>
    <mergeCell ref="F16:H16"/>
    <mergeCell ref="A11:J11"/>
    <mergeCell ref="C16:E16"/>
    <mergeCell ref="I16:L16"/>
    <mergeCell ref="A18:B18"/>
    <mergeCell ref="A16:B16"/>
    <mergeCell ref="A22:B22"/>
  </mergeCells>
  <phoneticPr fontId="0" type="noConversion"/>
  <printOptions horizontalCentered="1"/>
  <pageMargins left="0.25" right="0.24166666666666667" top="0.9" bottom="1.1083333333333334" header="0.35433070866141736" footer="0.35433070866141736"/>
  <pageSetup scale="80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8" shapeId="34817" r:id="rId4">
          <objectPr defaultSize="0" autoPict="0" r:id="rId5">
            <anchor moveWithCells="1" sizeWithCells="1">
              <from>
                <xdr:col>9</xdr:col>
                <xdr:colOff>504825</xdr:colOff>
                <xdr:row>15</xdr:row>
                <xdr:rowOff>0</xdr:rowOff>
              </from>
              <to>
                <xdr:col>11</xdr:col>
                <xdr:colOff>0</xdr:colOff>
                <xdr:row>15</xdr:row>
                <xdr:rowOff>9525</xdr:rowOff>
              </to>
            </anchor>
          </objectPr>
        </oleObject>
      </mc:Choice>
      <mc:Fallback>
        <oleObject progId="Word.Document.8" shapeId="34817" r:id="rId4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6">
    <pageSetUpPr fitToPage="1"/>
  </sheetPr>
  <dimension ref="A1:L85"/>
  <sheetViews>
    <sheetView view="pageLayout" topLeftCell="A11" zoomScale="160" zoomScaleNormal="100" zoomScalePageLayoutView="160" workbookViewId="0">
      <selection activeCell="G27" sqref="G27"/>
    </sheetView>
  </sheetViews>
  <sheetFormatPr baseColWidth="10" defaultColWidth="9.140625" defaultRowHeight="11.25" x14ac:dyDescent="0.2"/>
  <cols>
    <col min="1" max="1" width="8.85546875" style="1" customWidth="1"/>
    <col min="2" max="2" width="22" style="1" customWidth="1"/>
    <col min="3" max="5" width="12.28515625" style="1" customWidth="1"/>
    <col min="6" max="7" width="8.140625" style="1" customWidth="1"/>
    <col min="8" max="8" width="9.85546875" style="1" customWidth="1"/>
    <col min="9" max="10" width="8.140625" style="1" customWidth="1"/>
    <col min="11" max="11" width="9.7109375" style="1" customWidth="1"/>
    <col min="12" max="16384" width="9.140625" style="1"/>
  </cols>
  <sheetData>
    <row r="1" spans="1:12" x14ac:dyDescent="0.2">
      <c r="A1" s="19" t="s">
        <v>71</v>
      </c>
    </row>
    <row r="3" spans="1:12" x14ac:dyDescent="0.2">
      <c r="A3" s="1" t="s">
        <v>67</v>
      </c>
    </row>
    <row r="4" spans="1:12" x14ac:dyDescent="0.2">
      <c r="A4" s="1" t="s">
        <v>63</v>
      </c>
    </row>
    <row r="5" spans="1:12" x14ac:dyDescent="0.2">
      <c r="A5" s="1" t="s">
        <v>62</v>
      </c>
    </row>
    <row r="6" spans="1:12" x14ac:dyDescent="0.2">
      <c r="A6" s="1" t="s">
        <v>68</v>
      </c>
    </row>
    <row r="7" spans="1:12" x14ac:dyDescent="0.2">
      <c r="A7" s="1" t="s">
        <v>69</v>
      </c>
    </row>
    <row r="8" spans="1:12" x14ac:dyDescent="0.2">
      <c r="A8" s="1" t="s">
        <v>70</v>
      </c>
    </row>
    <row r="9" spans="1:12" x14ac:dyDescent="0.2">
      <c r="A9" s="1" t="s">
        <v>72</v>
      </c>
    </row>
    <row r="10" spans="1:12" ht="12" thickBot="1" x14ac:dyDescent="0.25"/>
    <row r="11" spans="1:12" customFormat="1" ht="12.75" x14ac:dyDescent="0.2">
      <c r="A11" s="245" t="s">
        <v>65</v>
      </c>
      <c r="B11" s="246"/>
      <c r="C11" s="246"/>
      <c r="D11" s="246"/>
      <c r="E11" s="246"/>
      <c r="F11" s="246"/>
      <c r="G11" s="246"/>
      <c r="H11" s="246"/>
      <c r="I11" s="246"/>
      <c r="J11" s="247"/>
      <c r="K11" s="20"/>
    </row>
    <row r="12" spans="1:12" customFormat="1" ht="12.75" x14ac:dyDescent="0.2">
      <c r="A12" s="21" t="s">
        <v>60</v>
      </c>
      <c r="B12" s="53" t="s">
        <v>155</v>
      </c>
      <c r="C12" s="54"/>
      <c r="D12" s="54"/>
      <c r="E12" s="54"/>
      <c r="F12" s="54"/>
      <c r="G12" s="54"/>
      <c r="H12" s="54"/>
      <c r="I12" s="11"/>
      <c r="J12" s="13"/>
      <c r="K12" s="22"/>
    </row>
    <row r="13" spans="1:12" customFormat="1" ht="12.75" x14ac:dyDescent="0.2">
      <c r="A13" s="23" t="s">
        <v>59</v>
      </c>
      <c r="B13" s="239" t="s">
        <v>156</v>
      </c>
      <c r="C13" s="55"/>
      <c r="D13" s="55"/>
      <c r="E13" s="55"/>
      <c r="F13" s="55"/>
      <c r="G13" s="55"/>
      <c r="H13" s="55"/>
      <c r="I13" s="12"/>
      <c r="J13" s="13"/>
      <c r="K13" s="24"/>
    </row>
    <row r="14" spans="1:12" customFormat="1" ht="13.5" thickBot="1" x14ac:dyDescent="0.25">
      <c r="A14" s="25" t="s">
        <v>61</v>
      </c>
      <c r="B14" s="240">
        <v>46315</v>
      </c>
      <c r="C14" s="55"/>
      <c r="D14" s="55"/>
      <c r="E14" s="55"/>
      <c r="F14" s="55"/>
      <c r="G14" s="55"/>
      <c r="H14" s="55"/>
      <c r="I14" s="12"/>
      <c r="J14" s="13"/>
      <c r="K14" s="26"/>
    </row>
    <row r="15" spans="1:12" customFormat="1" ht="13.5" thickBot="1" x14ac:dyDescent="0.25">
      <c r="A15" s="58" t="s">
        <v>82</v>
      </c>
      <c r="B15" s="238" t="s">
        <v>158</v>
      </c>
      <c r="C15" s="59"/>
      <c r="D15" s="59"/>
      <c r="E15" s="59"/>
      <c r="F15" s="59"/>
      <c r="G15" s="59"/>
      <c r="H15" s="59"/>
      <c r="I15" s="60"/>
      <c r="J15" s="61"/>
      <c r="K15" s="24"/>
    </row>
    <row r="16" spans="1:12" ht="33.75" customHeight="1" x14ac:dyDescent="0.2">
      <c r="A16" s="248" t="s">
        <v>0</v>
      </c>
      <c r="B16" s="249"/>
      <c r="C16" s="250" t="s">
        <v>86</v>
      </c>
      <c r="D16" s="251"/>
      <c r="E16" s="252"/>
      <c r="F16" s="249" t="s">
        <v>1</v>
      </c>
      <c r="G16" s="249"/>
      <c r="H16" s="249"/>
      <c r="I16" s="253" t="s">
        <v>2</v>
      </c>
      <c r="J16" s="254"/>
      <c r="K16" s="254"/>
      <c r="L16" s="254"/>
    </row>
    <row r="17" spans="1:12" s="5" customFormat="1" x14ac:dyDescent="0.2">
      <c r="A17" s="27" t="s">
        <v>3</v>
      </c>
      <c r="B17" s="4" t="s">
        <v>4</v>
      </c>
      <c r="C17" s="4" t="s">
        <v>83</v>
      </c>
      <c r="D17" s="4" t="s">
        <v>84</v>
      </c>
      <c r="E17" s="4" t="s">
        <v>85</v>
      </c>
      <c r="F17" s="4" t="s">
        <v>83</v>
      </c>
      <c r="G17" s="4" t="s">
        <v>84</v>
      </c>
      <c r="H17" s="4" t="s">
        <v>85</v>
      </c>
      <c r="I17" s="4" t="s">
        <v>83</v>
      </c>
      <c r="J17" s="4" t="s">
        <v>84</v>
      </c>
      <c r="K17" s="4" t="s">
        <v>85</v>
      </c>
      <c r="L17" s="4" t="s">
        <v>88</v>
      </c>
    </row>
    <row r="18" spans="1:12" x14ac:dyDescent="0.2">
      <c r="A18" s="243" t="s">
        <v>135</v>
      </c>
      <c r="B18" s="244"/>
      <c r="C18" s="18"/>
      <c r="D18" s="18"/>
      <c r="E18" s="18"/>
      <c r="F18" s="18"/>
      <c r="G18" s="18"/>
      <c r="H18" s="18"/>
      <c r="I18" s="18"/>
      <c r="J18" s="18"/>
      <c r="K18" s="28"/>
      <c r="L18" s="28"/>
    </row>
    <row r="19" spans="1:12" x14ac:dyDescent="0.2">
      <c r="A19" s="29">
        <v>11101</v>
      </c>
      <c r="B19" s="14" t="s">
        <v>133</v>
      </c>
      <c r="C19" s="15">
        <v>4</v>
      </c>
      <c r="D19" s="15">
        <v>10</v>
      </c>
      <c r="E19" s="15">
        <v>20</v>
      </c>
      <c r="G19" s="1">
        <v>2</v>
      </c>
      <c r="I19" s="16">
        <f>C19*F19</f>
        <v>0</v>
      </c>
      <c r="J19" s="16">
        <f>D19*G19</f>
        <v>20</v>
      </c>
      <c r="K19" s="63">
        <f>E19*H19</f>
        <v>0</v>
      </c>
      <c r="L19" s="2">
        <f>I19+J19+K19</f>
        <v>20</v>
      </c>
    </row>
    <row r="20" spans="1:12" x14ac:dyDescent="0.2">
      <c r="A20" s="29">
        <v>11102</v>
      </c>
      <c r="B20" s="14" t="s">
        <v>134</v>
      </c>
      <c r="C20" s="6">
        <v>2</v>
      </c>
      <c r="D20" s="6">
        <v>4</v>
      </c>
      <c r="E20" s="6">
        <v>8</v>
      </c>
      <c r="G20" s="1">
        <v>2</v>
      </c>
      <c r="I20" s="16">
        <f t="shared" ref="I20:K28" si="0">C20*F20</f>
        <v>0</v>
      </c>
      <c r="J20" s="16">
        <f t="shared" si="0"/>
        <v>8</v>
      </c>
      <c r="K20" s="63">
        <f>E20*H20</f>
        <v>0</v>
      </c>
      <c r="L20" s="2">
        <f t="shared" ref="L20:L28" si="1">I20+J20+K20</f>
        <v>8</v>
      </c>
    </row>
    <row r="21" spans="1:12" x14ac:dyDescent="0.2">
      <c r="A21" s="29">
        <v>11103</v>
      </c>
      <c r="B21" s="14" t="s">
        <v>14</v>
      </c>
      <c r="C21" s="6">
        <v>2</v>
      </c>
      <c r="D21" s="6">
        <v>4</v>
      </c>
      <c r="E21" s="6">
        <v>8</v>
      </c>
      <c r="F21" s="1">
        <v>1</v>
      </c>
      <c r="I21" s="16">
        <f t="shared" si="0"/>
        <v>2</v>
      </c>
      <c r="J21" s="16">
        <f t="shared" si="0"/>
        <v>0</v>
      </c>
      <c r="K21" s="63">
        <f>E21*H21</f>
        <v>0</v>
      </c>
      <c r="L21" s="2">
        <f t="shared" si="1"/>
        <v>2</v>
      </c>
    </row>
    <row r="22" spans="1:12" x14ac:dyDescent="0.2">
      <c r="A22" s="243" t="s">
        <v>136</v>
      </c>
      <c r="B22" s="244"/>
      <c r="C22" s="17"/>
      <c r="D22" s="17"/>
      <c r="E22" s="17"/>
      <c r="F22" s="18"/>
      <c r="G22" s="18"/>
      <c r="H22" s="18"/>
      <c r="I22" s="18"/>
      <c r="J22" s="18"/>
      <c r="K22" s="18"/>
      <c r="L22" s="18"/>
    </row>
    <row r="23" spans="1:12" x14ac:dyDescent="0.2">
      <c r="A23" s="29">
        <v>12101</v>
      </c>
      <c r="B23" s="14" t="s">
        <v>136</v>
      </c>
      <c r="C23" s="15">
        <v>4</v>
      </c>
      <c r="D23" s="15">
        <v>10</v>
      </c>
      <c r="E23" s="15">
        <v>20</v>
      </c>
      <c r="G23" s="1">
        <v>2</v>
      </c>
      <c r="I23" s="16">
        <f t="shared" si="0"/>
        <v>0</v>
      </c>
      <c r="J23" s="16">
        <f t="shared" si="0"/>
        <v>20</v>
      </c>
      <c r="K23" s="63">
        <f t="shared" si="0"/>
        <v>0</v>
      </c>
      <c r="L23" s="2">
        <f t="shared" si="1"/>
        <v>20</v>
      </c>
    </row>
    <row r="24" spans="1:12" x14ac:dyDescent="0.2">
      <c r="A24" s="243" t="s">
        <v>137</v>
      </c>
      <c r="B24" s="244"/>
      <c r="C24" s="17"/>
      <c r="D24" s="17"/>
      <c r="E24" s="17"/>
      <c r="F24" s="18"/>
      <c r="G24" s="18"/>
      <c r="H24" s="18"/>
      <c r="I24" s="18"/>
      <c r="J24" s="18"/>
      <c r="K24" s="18"/>
      <c r="L24" s="18"/>
    </row>
    <row r="25" spans="1:12" x14ac:dyDescent="0.2">
      <c r="A25" s="29">
        <v>13101</v>
      </c>
      <c r="B25" s="14" t="s">
        <v>138</v>
      </c>
      <c r="C25" s="15">
        <v>40</v>
      </c>
      <c r="D25" s="15">
        <v>80</v>
      </c>
      <c r="E25" s="15">
        <v>120</v>
      </c>
      <c r="G25" s="1">
        <v>1</v>
      </c>
      <c r="I25" s="16">
        <f t="shared" si="0"/>
        <v>0</v>
      </c>
      <c r="J25" s="16">
        <f t="shared" si="0"/>
        <v>80</v>
      </c>
      <c r="K25" s="63">
        <f t="shared" si="0"/>
        <v>0</v>
      </c>
      <c r="L25" s="2">
        <f t="shared" si="1"/>
        <v>80</v>
      </c>
    </row>
    <row r="26" spans="1:12" x14ac:dyDescent="0.2">
      <c r="A26" s="243" t="s">
        <v>5</v>
      </c>
      <c r="B26" s="244"/>
      <c r="C26" s="17"/>
      <c r="D26" s="17" t="s">
        <v>87</v>
      </c>
      <c r="E26" s="17" t="s">
        <v>87</v>
      </c>
      <c r="F26" s="18"/>
      <c r="G26" s="18"/>
      <c r="H26" s="18"/>
      <c r="I26" s="18"/>
      <c r="J26" s="18"/>
      <c r="K26" s="18"/>
      <c r="L26" s="18"/>
    </row>
    <row r="27" spans="1:12" x14ac:dyDescent="0.2">
      <c r="A27" s="29">
        <v>14101</v>
      </c>
      <c r="B27" s="14" t="s">
        <v>139</v>
      </c>
      <c r="C27" s="15">
        <v>4</v>
      </c>
      <c r="D27" s="15">
        <v>10</v>
      </c>
      <c r="E27" s="15">
        <v>40</v>
      </c>
      <c r="I27" s="16">
        <f t="shared" si="0"/>
        <v>0</v>
      </c>
      <c r="J27" s="16">
        <f t="shared" si="0"/>
        <v>0</v>
      </c>
      <c r="K27" s="63">
        <f t="shared" si="0"/>
        <v>0</v>
      </c>
      <c r="L27" s="2">
        <f t="shared" si="1"/>
        <v>0</v>
      </c>
    </row>
    <row r="28" spans="1:12" x14ac:dyDescent="0.2">
      <c r="A28" s="29">
        <v>14102</v>
      </c>
      <c r="B28" s="14" t="s">
        <v>140</v>
      </c>
      <c r="C28" s="6">
        <v>4</v>
      </c>
      <c r="D28" s="6">
        <v>10</v>
      </c>
      <c r="E28" s="6">
        <v>40</v>
      </c>
      <c r="I28" s="16">
        <f t="shared" si="0"/>
        <v>0</v>
      </c>
      <c r="J28" s="16">
        <f t="shared" si="0"/>
        <v>0</v>
      </c>
      <c r="K28" s="63">
        <f t="shared" si="0"/>
        <v>0</v>
      </c>
      <c r="L28" s="2">
        <f t="shared" si="1"/>
        <v>0</v>
      </c>
    </row>
    <row r="29" spans="1:12" ht="13.5" thickBot="1" x14ac:dyDescent="0.25">
      <c r="A29" s="66" t="str">
        <f>"Tamaño:"&amp;B15</f>
        <v>Tamaño:E-03 Seguimiento, cancelación y entrega de pedidos</v>
      </c>
      <c r="B29" s="62"/>
      <c r="C29" s="67"/>
      <c r="D29" s="67"/>
      <c r="E29" s="67"/>
      <c r="F29" s="44">
        <f>SUM(F19:F28)</f>
        <v>1</v>
      </c>
      <c r="G29" s="44">
        <f>SUM(G18:G28)</f>
        <v>7</v>
      </c>
      <c r="H29" s="44">
        <f>SUM(H19:H28)</f>
        <v>0</v>
      </c>
      <c r="I29" s="68">
        <f>SUM(I18:I28)</f>
        <v>2</v>
      </c>
      <c r="J29" s="68">
        <f>SUM(J18:J28)</f>
        <v>128</v>
      </c>
      <c r="K29" s="69">
        <f>SUM(K18:K28)</f>
        <v>0</v>
      </c>
      <c r="L29" s="69">
        <f>SUM(L19:L28)</f>
        <v>130</v>
      </c>
    </row>
    <row r="30" spans="1:12" ht="13.5" thickBot="1" x14ac:dyDescent="0.25">
      <c r="A30" s="7"/>
      <c r="B30" s="70"/>
      <c r="C30" s="71"/>
      <c r="D30" s="71"/>
      <c r="E30" s="71"/>
      <c r="F30" s="7"/>
      <c r="G30" s="7"/>
      <c r="H30" s="7"/>
      <c r="I30" s="7"/>
      <c r="J30" s="7"/>
      <c r="K30" s="7"/>
      <c r="L30" s="57"/>
    </row>
    <row r="31" spans="1:12" ht="13.5" thickBot="1" x14ac:dyDescent="0.25">
      <c r="A31" s="64" t="s">
        <v>89</v>
      </c>
      <c r="B31" s="72"/>
      <c r="C31" s="72"/>
      <c r="D31" s="72"/>
      <c r="E31" s="72"/>
      <c r="F31" s="74" t="s">
        <v>79</v>
      </c>
      <c r="G31" s="72"/>
      <c r="H31" s="72"/>
      <c r="I31" s="76">
        <f>I29*Complejidad!$G$25</f>
        <v>2</v>
      </c>
      <c r="J31" s="77">
        <f>J29*Complejidad!$G$25</f>
        <v>128</v>
      </c>
      <c r="K31" s="78">
        <f>K29*Complejidad!$G$25</f>
        <v>0</v>
      </c>
      <c r="L31" s="78">
        <f>L29*Complejidad!$G$25</f>
        <v>130</v>
      </c>
    </row>
    <row r="32" spans="1:12" ht="12" thickBot="1" x14ac:dyDescent="0.25"/>
    <row r="33" spans="1:12" ht="13.5" thickBot="1" x14ac:dyDescent="0.25">
      <c r="A33" s="64" t="s">
        <v>77</v>
      </c>
      <c r="B33" s="72"/>
      <c r="C33" s="81">
        <f>Complejidad!D27</f>
        <v>1</v>
      </c>
      <c r="D33" s="73"/>
      <c r="E33" s="73"/>
      <c r="F33" s="74" t="s">
        <v>78</v>
      </c>
      <c r="G33" s="72"/>
      <c r="H33" s="72"/>
      <c r="I33" s="72"/>
      <c r="J33" s="72"/>
      <c r="K33" s="72"/>
      <c r="L33" s="65"/>
    </row>
    <row r="34" spans="1:12" ht="13.5" thickBot="1" x14ac:dyDescent="0.25">
      <c r="A34" s="7"/>
      <c r="B34" s="57"/>
      <c r="C34" s="71"/>
      <c r="D34" s="71"/>
      <c r="E34" s="71"/>
      <c r="F34" s="75"/>
      <c r="G34" s="57"/>
      <c r="H34" s="57"/>
      <c r="I34" s="57"/>
      <c r="J34" s="57"/>
      <c r="K34" s="57"/>
      <c r="L34" s="57"/>
    </row>
    <row r="35" spans="1:12" ht="18.75" thickBot="1" x14ac:dyDescent="0.3">
      <c r="A35" s="64" t="s">
        <v>76</v>
      </c>
      <c r="B35" s="79"/>
      <c r="C35" s="72"/>
      <c r="D35" s="72"/>
      <c r="E35" s="72"/>
      <c r="F35" s="74" t="s">
        <v>79</v>
      </c>
      <c r="G35" s="72"/>
      <c r="H35" s="65"/>
      <c r="I35" s="80">
        <f>I31/$C$33</f>
        <v>2</v>
      </c>
      <c r="J35" s="77">
        <f>J31/$C$33</f>
        <v>128</v>
      </c>
      <c r="K35" s="78">
        <f>K31/$C$33</f>
        <v>0</v>
      </c>
      <c r="L35" s="148">
        <f>L31/$C$33</f>
        <v>130</v>
      </c>
    </row>
    <row r="79" spans="1:12" s="57" customFormat="1" ht="12.75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s="57" customFormat="1" ht="12.75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3" spans="1:12" s="57" customFormat="1" ht="12.75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 s="57" customFormat="1" ht="12.75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s="57" customFormat="1" ht="12.75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</sheetData>
  <dataConsolidate/>
  <mergeCells count="9">
    <mergeCell ref="A11:J11"/>
    <mergeCell ref="C16:E16"/>
    <mergeCell ref="I16:L16"/>
    <mergeCell ref="A22:B22"/>
    <mergeCell ref="A26:B26"/>
    <mergeCell ref="A18:B18"/>
    <mergeCell ref="A16:B16"/>
    <mergeCell ref="F16:H16"/>
    <mergeCell ref="A24:B24"/>
  </mergeCells>
  <phoneticPr fontId="0" type="noConversion"/>
  <printOptions horizontalCentered="1"/>
  <pageMargins left="0.28333333333333333" right="0.22500000000000001" top="0.79166666666666663" bottom="0.85" header="0.35433070866141736" footer="0.35433070866141736"/>
  <pageSetup scale="80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8" shapeId="35841" r:id="rId4">
          <objectPr defaultSize="0" autoPict="0" r:id="rId5">
            <anchor moveWithCells="1" sizeWithCells="1">
              <from>
                <xdr:col>9</xdr:col>
                <xdr:colOff>504825</xdr:colOff>
                <xdr:row>15</xdr:row>
                <xdr:rowOff>0</xdr:rowOff>
              </from>
              <to>
                <xdr:col>11</xdr:col>
                <xdr:colOff>0</xdr:colOff>
                <xdr:row>15</xdr:row>
                <xdr:rowOff>9525</xdr:rowOff>
              </to>
            </anchor>
          </objectPr>
        </oleObject>
      </mc:Choice>
      <mc:Fallback>
        <oleObject progId="Word.Document.8" shapeId="35841" r:id="rId4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2E79A-3AC4-4E23-90FE-23BFEC294E48}">
  <sheetPr>
    <pageSetUpPr fitToPage="1"/>
  </sheetPr>
  <dimension ref="A1:M85"/>
  <sheetViews>
    <sheetView view="pageLayout" topLeftCell="A12" zoomScale="160" zoomScaleNormal="100" zoomScalePageLayoutView="160" workbookViewId="0">
      <selection activeCell="F25" sqref="F25"/>
    </sheetView>
  </sheetViews>
  <sheetFormatPr baseColWidth="10" defaultColWidth="9.140625" defaultRowHeight="11.25" x14ac:dyDescent="0.2"/>
  <cols>
    <col min="1" max="1" width="8.85546875" style="1" customWidth="1"/>
    <col min="2" max="2" width="22" style="1" customWidth="1"/>
    <col min="3" max="5" width="12.28515625" style="1" customWidth="1"/>
    <col min="6" max="7" width="8.140625" style="1" customWidth="1"/>
    <col min="8" max="8" width="9.85546875" style="1" customWidth="1"/>
    <col min="9" max="10" width="8.140625" style="1" customWidth="1"/>
    <col min="11" max="11" width="9.7109375" style="1" customWidth="1"/>
    <col min="12" max="16384" width="9.140625" style="1"/>
  </cols>
  <sheetData>
    <row r="1" spans="1:12" x14ac:dyDescent="0.2">
      <c r="A1" s="19" t="s">
        <v>71</v>
      </c>
    </row>
    <row r="3" spans="1:12" x14ac:dyDescent="0.2">
      <c r="A3" s="1" t="s">
        <v>67</v>
      </c>
    </row>
    <row r="4" spans="1:12" x14ac:dyDescent="0.2">
      <c r="A4" s="1" t="s">
        <v>63</v>
      </c>
    </row>
    <row r="5" spans="1:12" x14ac:dyDescent="0.2">
      <c r="A5" s="1" t="s">
        <v>62</v>
      </c>
    </row>
    <row r="6" spans="1:12" x14ac:dyDescent="0.2">
      <c r="A6" s="1" t="s">
        <v>68</v>
      </c>
    </row>
    <row r="7" spans="1:12" x14ac:dyDescent="0.2">
      <c r="A7" s="1" t="s">
        <v>69</v>
      </c>
    </row>
    <row r="8" spans="1:12" x14ac:dyDescent="0.2">
      <c r="A8" s="1" t="s">
        <v>70</v>
      </c>
    </row>
    <row r="9" spans="1:12" x14ac:dyDescent="0.2">
      <c r="A9" s="1" t="s">
        <v>72</v>
      </c>
    </row>
    <row r="10" spans="1:12" ht="12" thickBot="1" x14ac:dyDescent="0.25"/>
    <row r="11" spans="1:12" customFormat="1" ht="12.75" x14ac:dyDescent="0.2">
      <c r="A11" s="245" t="s">
        <v>65</v>
      </c>
      <c r="B11" s="246"/>
      <c r="C11" s="246"/>
      <c r="D11" s="246"/>
      <c r="E11" s="246"/>
      <c r="F11" s="246"/>
      <c r="G11" s="246"/>
      <c r="H11" s="246"/>
      <c r="I11" s="246"/>
      <c r="J11" s="247"/>
      <c r="K11" s="20"/>
    </row>
    <row r="12" spans="1:12" customFormat="1" ht="12.75" x14ac:dyDescent="0.2">
      <c r="A12" s="21" t="s">
        <v>60</v>
      </c>
      <c r="B12" s="239" t="s">
        <v>155</v>
      </c>
      <c r="C12" s="54"/>
      <c r="D12" s="54"/>
      <c r="E12" s="54"/>
      <c r="F12" s="54"/>
      <c r="G12" s="54"/>
      <c r="H12" s="54"/>
      <c r="I12" s="11"/>
      <c r="J12" s="13"/>
      <c r="K12" s="22"/>
    </row>
    <row r="13" spans="1:12" customFormat="1" ht="12.75" x14ac:dyDescent="0.2">
      <c r="A13" s="23" t="s">
        <v>59</v>
      </c>
      <c r="B13" s="239" t="s">
        <v>156</v>
      </c>
      <c r="C13" s="55"/>
      <c r="D13" s="55"/>
      <c r="E13" s="55"/>
      <c r="F13" s="55"/>
      <c r="G13" s="55"/>
      <c r="H13" s="55"/>
      <c r="I13" s="12"/>
      <c r="J13" s="13"/>
      <c r="K13" s="24"/>
    </row>
    <row r="14" spans="1:12" customFormat="1" ht="13.5" thickBot="1" x14ac:dyDescent="0.25">
      <c r="A14" s="25" t="s">
        <v>61</v>
      </c>
      <c r="B14" s="240">
        <v>46315</v>
      </c>
      <c r="C14" s="55"/>
      <c r="D14" s="55"/>
      <c r="E14" s="55"/>
      <c r="F14" s="55"/>
      <c r="G14" s="55"/>
      <c r="H14" s="55"/>
      <c r="I14" s="12"/>
      <c r="J14" s="13"/>
      <c r="K14" s="26"/>
    </row>
    <row r="15" spans="1:12" customFormat="1" ht="13.5" thickBot="1" x14ac:dyDescent="0.25">
      <c r="A15" s="58" t="s">
        <v>82</v>
      </c>
      <c r="B15" s="238" t="s">
        <v>161</v>
      </c>
      <c r="C15" s="59"/>
      <c r="D15" s="59"/>
      <c r="E15" s="59"/>
      <c r="F15" s="59"/>
      <c r="G15" s="59"/>
      <c r="H15" s="59"/>
      <c r="I15" s="60"/>
      <c r="J15" s="61"/>
      <c r="K15" s="24"/>
    </row>
    <row r="16" spans="1:12" ht="33.75" customHeight="1" x14ac:dyDescent="0.2">
      <c r="A16" s="248" t="s">
        <v>0</v>
      </c>
      <c r="B16" s="249"/>
      <c r="C16" s="250" t="s">
        <v>86</v>
      </c>
      <c r="D16" s="251"/>
      <c r="E16" s="252"/>
      <c r="F16" s="249" t="s">
        <v>1</v>
      </c>
      <c r="G16" s="249"/>
      <c r="H16" s="249"/>
      <c r="I16" s="253" t="s">
        <v>2</v>
      </c>
      <c r="J16" s="254"/>
      <c r="K16" s="254"/>
      <c r="L16" s="254"/>
    </row>
    <row r="17" spans="1:12" s="5" customFormat="1" x14ac:dyDescent="0.2">
      <c r="A17" s="27" t="s">
        <v>3</v>
      </c>
      <c r="B17" s="4" t="s">
        <v>4</v>
      </c>
      <c r="C17" s="4" t="s">
        <v>83</v>
      </c>
      <c r="D17" s="4" t="s">
        <v>84</v>
      </c>
      <c r="E17" s="4" t="s">
        <v>85</v>
      </c>
      <c r="F17" s="4" t="s">
        <v>83</v>
      </c>
      <c r="G17" s="4" t="s">
        <v>84</v>
      </c>
      <c r="H17" s="4" t="s">
        <v>85</v>
      </c>
      <c r="I17" s="4" t="s">
        <v>83</v>
      </c>
      <c r="J17" s="4" t="s">
        <v>84</v>
      </c>
      <c r="K17" s="4" t="s">
        <v>85</v>
      </c>
      <c r="L17" s="4" t="s">
        <v>88</v>
      </c>
    </row>
    <row r="18" spans="1:12" x14ac:dyDescent="0.2">
      <c r="A18" s="243" t="s">
        <v>135</v>
      </c>
      <c r="B18" s="244"/>
      <c r="C18" s="18"/>
      <c r="D18" s="18"/>
      <c r="E18" s="18"/>
      <c r="F18" s="18"/>
      <c r="G18" s="18"/>
      <c r="H18" s="18"/>
      <c r="I18" s="18"/>
      <c r="J18" s="18"/>
      <c r="K18" s="28"/>
      <c r="L18" s="28"/>
    </row>
    <row r="19" spans="1:12" x14ac:dyDescent="0.2">
      <c r="A19" s="29">
        <v>11101</v>
      </c>
      <c r="B19" s="14" t="s">
        <v>133</v>
      </c>
      <c r="C19" s="15">
        <v>4</v>
      </c>
      <c r="D19" s="15">
        <v>10</v>
      </c>
      <c r="E19" s="15">
        <v>20</v>
      </c>
      <c r="G19" s="1">
        <v>2</v>
      </c>
      <c r="I19" s="16">
        <f>C19*F19</f>
        <v>0</v>
      </c>
      <c r="J19" s="16">
        <f>D19*G19</f>
        <v>20</v>
      </c>
      <c r="K19" s="63">
        <f>E19*H19</f>
        <v>0</v>
      </c>
      <c r="L19" s="2">
        <f>I19+J19+K19</f>
        <v>20</v>
      </c>
    </row>
    <row r="20" spans="1:12" x14ac:dyDescent="0.2">
      <c r="A20" s="29">
        <v>11102</v>
      </c>
      <c r="B20" s="14" t="s">
        <v>134</v>
      </c>
      <c r="C20" s="6">
        <v>2</v>
      </c>
      <c r="D20" s="6">
        <v>4</v>
      </c>
      <c r="E20" s="6">
        <v>8</v>
      </c>
      <c r="G20" s="1">
        <v>2</v>
      </c>
      <c r="I20" s="16">
        <f t="shared" ref="I20:K28" si="0">C20*F20</f>
        <v>0</v>
      </c>
      <c r="J20" s="16">
        <f t="shared" si="0"/>
        <v>8</v>
      </c>
      <c r="K20" s="63">
        <f t="shared" si="0"/>
        <v>0</v>
      </c>
      <c r="L20" s="2">
        <f t="shared" ref="L20:L28" si="1">I20+J20+K20</f>
        <v>8</v>
      </c>
    </row>
    <row r="21" spans="1:12" x14ac:dyDescent="0.2">
      <c r="A21" s="29">
        <v>11103</v>
      </c>
      <c r="B21" s="14" t="s">
        <v>14</v>
      </c>
      <c r="C21" s="6">
        <v>2</v>
      </c>
      <c r="D21" s="6">
        <v>4</v>
      </c>
      <c r="E21" s="6">
        <v>8</v>
      </c>
      <c r="G21" s="1">
        <v>1</v>
      </c>
      <c r="I21" s="16">
        <f t="shared" si="0"/>
        <v>0</v>
      </c>
      <c r="J21" s="16">
        <f t="shared" si="0"/>
        <v>4</v>
      </c>
      <c r="K21" s="63">
        <f t="shared" si="0"/>
        <v>0</v>
      </c>
      <c r="L21" s="2">
        <f t="shared" si="1"/>
        <v>4</v>
      </c>
    </row>
    <row r="22" spans="1:12" x14ac:dyDescent="0.2">
      <c r="A22" s="243" t="s">
        <v>136</v>
      </c>
      <c r="B22" s="244"/>
      <c r="C22" s="17"/>
      <c r="D22" s="17"/>
      <c r="E22" s="17"/>
      <c r="F22" s="18"/>
      <c r="G22" s="18"/>
      <c r="H22" s="18"/>
      <c r="I22" s="18"/>
      <c r="J22" s="18"/>
      <c r="K22" s="18"/>
      <c r="L22" s="18"/>
    </row>
    <row r="23" spans="1:12" x14ac:dyDescent="0.2">
      <c r="A23" s="29">
        <v>12101</v>
      </c>
      <c r="B23" s="14" t="s">
        <v>136</v>
      </c>
      <c r="C23" s="15">
        <v>4</v>
      </c>
      <c r="D23" s="15">
        <v>10</v>
      </c>
      <c r="E23" s="15">
        <v>20</v>
      </c>
      <c r="F23" s="1">
        <v>1</v>
      </c>
      <c r="I23" s="16">
        <f>C23*F23</f>
        <v>4</v>
      </c>
      <c r="J23" s="16">
        <f>D23*G23</f>
        <v>0</v>
      </c>
      <c r="K23" s="63">
        <f t="shared" si="0"/>
        <v>0</v>
      </c>
      <c r="L23" s="2">
        <f t="shared" si="1"/>
        <v>4</v>
      </c>
    </row>
    <row r="24" spans="1:12" x14ac:dyDescent="0.2">
      <c r="A24" s="243" t="s">
        <v>137</v>
      </c>
      <c r="B24" s="244"/>
      <c r="C24" s="17"/>
      <c r="D24" s="17"/>
      <c r="E24" s="17"/>
      <c r="F24" s="18"/>
      <c r="G24" s="18"/>
      <c r="H24" s="18"/>
      <c r="I24" s="18"/>
      <c r="J24" s="18"/>
      <c r="K24" s="18"/>
      <c r="L24" s="18"/>
    </row>
    <row r="25" spans="1:12" x14ac:dyDescent="0.2">
      <c r="A25" s="29">
        <v>13101</v>
      </c>
      <c r="B25" s="14" t="s">
        <v>138</v>
      </c>
      <c r="C25" s="15">
        <v>40</v>
      </c>
      <c r="D25" s="15">
        <v>80</v>
      </c>
      <c r="E25" s="15">
        <v>120</v>
      </c>
      <c r="G25" s="1">
        <v>1</v>
      </c>
      <c r="I25" s="16">
        <f t="shared" si="0"/>
        <v>0</v>
      </c>
      <c r="J25" s="16">
        <f t="shared" si="0"/>
        <v>80</v>
      </c>
      <c r="K25" s="63">
        <f t="shared" si="0"/>
        <v>0</v>
      </c>
      <c r="L25" s="2">
        <f t="shared" si="1"/>
        <v>80</v>
      </c>
    </row>
    <row r="26" spans="1:12" x14ac:dyDescent="0.2">
      <c r="A26" s="243" t="s">
        <v>5</v>
      </c>
      <c r="B26" s="244"/>
      <c r="C26" s="17"/>
      <c r="D26" s="17" t="s">
        <v>87</v>
      </c>
      <c r="E26" s="17" t="s">
        <v>87</v>
      </c>
      <c r="F26" s="18"/>
      <c r="G26" s="18"/>
      <c r="H26" s="18"/>
      <c r="I26" s="18"/>
      <c r="J26" s="18"/>
      <c r="K26" s="18"/>
      <c r="L26" s="18"/>
    </row>
    <row r="27" spans="1:12" x14ac:dyDescent="0.2">
      <c r="A27" s="29">
        <v>14101</v>
      </c>
      <c r="B27" s="14" t="s">
        <v>139</v>
      </c>
      <c r="C27" s="15">
        <v>4</v>
      </c>
      <c r="D27" s="15">
        <v>10</v>
      </c>
      <c r="E27" s="15">
        <v>40</v>
      </c>
      <c r="I27" s="16">
        <f t="shared" si="0"/>
        <v>0</v>
      </c>
      <c r="J27" s="16">
        <f t="shared" si="0"/>
        <v>0</v>
      </c>
      <c r="K27" s="63">
        <f t="shared" si="0"/>
        <v>0</v>
      </c>
      <c r="L27" s="2">
        <f t="shared" si="1"/>
        <v>0</v>
      </c>
    </row>
    <row r="28" spans="1:12" x14ac:dyDescent="0.2">
      <c r="A28" s="29">
        <v>14102</v>
      </c>
      <c r="B28" s="14" t="s">
        <v>140</v>
      </c>
      <c r="C28" s="6">
        <v>4</v>
      </c>
      <c r="D28" s="6">
        <v>10</v>
      </c>
      <c r="E28" s="6">
        <v>40</v>
      </c>
      <c r="I28" s="16">
        <f t="shared" si="0"/>
        <v>0</v>
      </c>
      <c r="J28" s="16">
        <f t="shared" si="0"/>
        <v>0</v>
      </c>
      <c r="K28" s="63">
        <f t="shared" si="0"/>
        <v>0</v>
      </c>
      <c r="L28" s="2">
        <f t="shared" si="1"/>
        <v>0</v>
      </c>
    </row>
    <row r="29" spans="1:12" ht="13.5" thickBot="1" x14ac:dyDescent="0.25">
      <c r="A29" s="66" t="str">
        <f>"Tamaño:"&amp;B15</f>
        <v>Tamaño:E-04 Administración de productos y promociones</v>
      </c>
      <c r="B29" s="62"/>
      <c r="C29" s="67"/>
      <c r="D29" s="67"/>
      <c r="E29" s="67"/>
      <c r="F29" s="44">
        <f>SUM(F19:F28)</f>
        <v>1</v>
      </c>
      <c r="G29" s="44">
        <f>SUM(G18:G28)</f>
        <v>6</v>
      </c>
      <c r="H29" s="44">
        <f>SUM(H19:H28)</f>
        <v>0</v>
      </c>
      <c r="I29" s="68">
        <f>SUM(I18:I28)</f>
        <v>4</v>
      </c>
      <c r="J29" s="68">
        <f>SUM(J18:J28)</f>
        <v>112</v>
      </c>
      <c r="K29" s="69">
        <f>SUM(K18:K28)</f>
        <v>0</v>
      </c>
      <c r="L29" s="69">
        <f>SUM(L19:L28)</f>
        <v>116</v>
      </c>
    </row>
    <row r="30" spans="1:12" ht="13.5" thickBot="1" x14ac:dyDescent="0.25">
      <c r="A30" s="7"/>
      <c r="B30" s="70"/>
      <c r="C30" s="71"/>
      <c r="D30" s="71"/>
      <c r="E30" s="71"/>
      <c r="F30" s="7"/>
      <c r="G30" s="7"/>
      <c r="H30" s="7"/>
      <c r="I30" s="7"/>
      <c r="J30" s="7"/>
      <c r="K30" s="7"/>
      <c r="L30" s="57"/>
    </row>
    <row r="31" spans="1:12" ht="13.5" thickBot="1" x14ac:dyDescent="0.25">
      <c r="A31" s="64" t="s">
        <v>89</v>
      </c>
      <c r="B31" s="72"/>
      <c r="C31" s="72"/>
      <c r="D31" s="72"/>
      <c r="E31" s="72"/>
      <c r="F31" s="74" t="s">
        <v>79</v>
      </c>
      <c r="G31" s="72"/>
      <c r="H31" s="72"/>
      <c r="I31" s="76">
        <f>I29*Complejidad!$G$25</f>
        <v>4</v>
      </c>
      <c r="J31" s="77">
        <f>J29*Complejidad!$G$25</f>
        <v>112</v>
      </c>
      <c r="K31" s="78">
        <f>K29*Complejidad!$G$25</f>
        <v>0</v>
      </c>
      <c r="L31" s="78">
        <f>L29*Complejidad!$G$25</f>
        <v>116</v>
      </c>
    </row>
    <row r="32" spans="1:12" ht="12" thickBot="1" x14ac:dyDescent="0.25"/>
    <row r="33" spans="1:12" ht="13.5" thickBot="1" x14ac:dyDescent="0.25">
      <c r="A33" s="64" t="s">
        <v>77</v>
      </c>
      <c r="B33" s="72"/>
      <c r="C33" s="81">
        <f>Complejidad!D27</f>
        <v>1</v>
      </c>
      <c r="D33" s="73"/>
      <c r="E33" s="73"/>
      <c r="F33" s="74" t="s">
        <v>78</v>
      </c>
      <c r="G33" s="72"/>
      <c r="H33" s="72"/>
      <c r="I33" s="72"/>
      <c r="J33" s="72"/>
      <c r="K33" s="72"/>
      <c r="L33" s="65"/>
    </row>
    <row r="34" spans="1:12" ht="13.5" thickBot="1" x14ac:dyDescent="0.25">
      <c r="A34" s="7"/>
      <c r="B34" s="57"/>
      <c r="C34" s="71"/>
      <c r="D34" s="71"/>
      <c r="E34" s="71"/>
      <c r="F34" s="75"/>
      <c r="G34" s="57"/>
      <c r="H34" s="57"/>
      <c r="I34" s="57"/>
      <c r="J34" s="57"/>
      <c r="K34" s="57"/>
      <c r="L34" s="57"/>
    </row>
    <row r="35" spans="1:12" ht="18.75" thickBot="1" x14ac:dyDescent="0.3">
      <c r="A35" s="64" t="s">
        <v>76</v>
      </c>
      <c r="B35" s="79"/>
      <c r="C35" s="72"/>
      <c r="D35" s="72"/>
      <c r="E35" s="72"/>
      <c r="F35" s="74" t="s">
        <v>79</v>
      </c>
      <c r="G35" s="72"/>
      <c r="H35" s="65"/>
      <c r="I35" s="80">
        <f>I31/$C$33</f>
        <v>4</v>
      </c>
      <c r="J35" s="77">
        <f>J31/$C$33</f>
        <v>112</v>
      </c>
      <c r="K35" s="78">
        <f>K31/$C$33</f>
        <v>0</v>
      </c>
      <c r="L35" s="148">
        <f>L31/$C$33</f>
        <v>116</v>
      </c>
    </row>
    <row r="52" spans="13:13" ht="12.75" x14ac:dyDescent="0.2">
      <c r="M52" s="57"/>
    </row>
    <row r="53" spans="13:13" ht="12.75" x14ac:dyDescent="0.2">
      <c r="M53" s="57"/>
    </row>
    <row r="56" spans="13:13" ht="12.75" x14ac:dyDescent="0.2">
      <c r="M56" s="57"/>
    </row>
    <row r="57" spans="13:13" ht="12.75" x14ac:dyDescent="0.2">
      <c r="M57" s="57"/>
    </row>
    <row r="58" spans="13:13" ht="12.75" x14ac:dyDescent="0.2">
      <c r="M58" s="57"/>
    </row>
    <row r="79" spans="1:13" s="57" customFormat="1" ht="12.75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1:13" s="57" customFormat="1" ht="12.75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3" spans="1:13" s="57" customFormat="1" ht="12.75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1:13" s="57" customFormat="1" ht="12.75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1:13" s="57" customFormat="1" ht="12.75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</sheetData>
  <dataConsolidate/>
  <mergeCells count="9">
    <mergeCell ref="A22:B22"/>
    <mergeCell ref="A24:B24"/>
    <mergeCell ref="A26:B26"/>
    <mergeCell ref="A11:J11"/>
    <mergeCell ref="A16:B16"/>
    <mergeCell ref="C16:E16"/>
    <mergeCell ref="F16:H16"/>
    <mergeCell ref="I16:L16"/>
    <mergeCell ref="A18:B18"/>
  </mergeCells>
  <printOptions horizontalCentered="1"/>
  <pageMargins left="0.31496062992125984" right="0.31496062992125984" top="1.0208333333333333" bottom="0.98425196850393704" header="0.35433070866141736" footer="0.35433070866141736"/>
  <pageSetup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25F5E-908B-48A2-ABED-63594EFC9535}">
  <sheetPr>
    <pageSetUpPr fitToPage="1"/>
  </sheetPr>
  <dimension ref="A1:M85"/>
  <sheetViews>
    <sheetView view="pageLayout" topLeftCell="A15" zoomScale="160" zoomScaleNormal="100" zoomScalePageLayoutView="160" workbookViewId="0">
      <selection activeCell="G23" sqref="G23"/>
    </sheetView>
  </sheetViews>
  <sheetFormatPr baseColWidth="10" defaultColWidth="9.140625" defaultRowHeight="11.25" x14ac:dyDescent="0.2"/>
  <cols>
    <col min="1" max="1" width="8.85546875" style="1" customWidth="1"/>
    <col min="2" max="2" width="22" style="1" customWidth="1"/>
    <col min="3" max="5" width="12.28515625" style="1" customWidth="1"/>
    <col min="6" max="7" width="8.140625" style="1" customWidth="1"/>
    <col min="8" max="8" width="9.85546875" style="1" customWidth="1"/>
    <col min="9" max="10" width="8.140625" style="1" customWidth="1"/>
    <col min="11" max="11" width="9.7109375" style="1" customWidth="1"/>
    <col min="12" max="16384" width="9.140625" style="1"/>
  </cols>
  <sheetData>
    <row r="1" spans="1:12" x14ac:dyDescent="0.2">
      <c r="A1" s="19" t="s">
        <v>71</v>
      </c>
    </row>
    <row r="3" spans="1:12" x14ac:dyDescent="0.2">
      <c r="A3" s="1" t="s">
        <v>67</v>
      </c>
    </row>
    <row r="4" spans="1:12" x14ac:dyDescent="0.2">
      <c r="A4" s="1" t="s">
        <v>63</v>
      </c>
    </row>
    <row r="5" spans="1:12" x14ac:dyDescent="0.2">
      <c r="A5" s="1" t="s">
        <v>62</v>
      </c>
    </row>
    <row r="6" spans="1:12" x14ac:dyDescent="0.2">
      <c r="A6" s="1" t="s">
        <v>68</v>
      </c>
    </row>
    <row r="7" spans="1:12" x14ac:dyDescent="0.2">
      <c r="A7" s="1" t="s">
        <v>69</v>
      </c>
    </row>
    <row r="8" spans="1:12" x14ac:dyDescent="0.2">
      <c r="A8" s="1" t="s">
        <v>70</v>
      </c>
    </row>
    <row r="9" spans="1:12" x14ac:dyDescent="0.2">
      <c r="A9" s="1" t="s">
        <v>72</v>
      </c>
    </row>
    <row r="10" spans="1:12" ht="12" thickBot="1" x14ac:dyDescent="0.25"/>
    <row r="11" spans="1:12" customFormat="1" ht="12.75" x14ac:dyDescent="0.2">
      <c r="A11" s="245" t="s">
        <v>65</v>
      </c>
      <c r="B11" s="246"/>
      <c r="C11" s="246"/>
      <c r="D11" s="246"/>
      <c r="E11" s="246"/>
      <c r="F11" s="246"/>
      <c r="G11" s="246"/>
      <c r="H11" s="246"/>
      <c r="I11" s="246"/>
      <c r="J11" s="247"/>
      <c r="K11" s="20"/>
    </row>
    <row r="12" spans="1:12" customFormat="1" ht="12.75" x14ac:dyDescent="0.2">
      <c r="A12" s="21" t="s">
        <v>60</v>
      </c>
      <c r="B12" s="239" t="s">
        <v>155</v>
      </c>
      <c r="C12" s="54"/>
      <c r="D12" s="54"/>
      <c r="E12" s="54"/>
      <c r="F12" s="54"/>
      <c r="G12" s="54"/>
      <c r="H12" s="54"/>
      <c r="I12" s="11"/>
      <c r="J12" s="13"/>
      <c r="K12" s="22"/>
    </row>
    <row r="13" spans="1:12" customFormat="1" ht="12.75" x14ac:dyDescent="0.2">
      <c r="A13" s="23" t="s">
        <v>59</v>
      </c>
      <c r="B13" s="239" t="s">
        <v>156</v>
      </c>
      <c r="C13" s="55"/>
      <c r="D13" s="55"/>
      <c r="E13" s="55"/>
      <c r="F13" s="55"/>
      <c r="G13" s="55"/>
      <c r="H13" s="55"/>
      <c r="I13" s="12"/>
      <c r="J13" s="13"/>
      <c r="K13" s="24"/>
    </row>
    <row r="14" spans="1:12" customFormat="1" ht="13.5" thickBot="1" x14ac:dyDescent="0.25">
      <c r="A14" s="25" t="s">
        <v>61</v>
      </c>
      <c r="B14" s="240">
        <v>46315</v>
      </c>
      <c r="C14" s="55"/>
      <c r="D14" s="55"/>
      <c r="E14" s="55"/>
      <c r="F14" s="55"/>
      <c r="G14" s="55"/>
      <c r="H14" s="55"/>
      <c r="I14" s="12"/>
      <c r="J14" s="13"/>
      <c r="K14" s="26"/>
    </row>
    <row r="15" spans="1:12" customFormat="1" ht="13.5" thickBot="1" x14ac:dyDescent="0.25">
      <c r="A15" s="58" t="s">
        <v>82</v>
      </c>
      <c r="B15" s="238" t="s">
        <v>162</v>
      </c>
      <c r="C15" s="59"/>
      <c r="D15" s="59"/>
      <c r="E15" s="59"/>
      <c r="F15" s="59"/>
      <c r="G15" s="59"/>
      <c r="H15" s="59"/>
      <c r="I15" s="60"/>
      <c r="J15" s="61"/>
      <c r="K15" s="24"/>
    </row>
    <row r="16" spans="1:12" ht="33.75" customHeight="1" x14ac:dyDescent="0.2">
      <c r="A16" s="248" t="s">
        <v>0</v>
      </c>
      <c r="B16" s="249"/>
      <c r="C16" s="250" t="s">
        <v>86</v>
      </c>
      <c r="D16" s="251"/>
      <c r="E16" s="252"/>
      <c r="F16" s="249" t="s">
        <v>1</v>
      </c>
      <c r="G16" s="249"/>
      <c r="H16" s="249"/>
      <c r="I16" s="253" t="s">
        <v>2</v>
      </c>
      <c r="J16" s="254"/>
      <c r="K16" s="254"/>
      <c r="L16" s="254"/>
    </row>
    <row r="17" spans="1:12" s="5" customFormat="1" x14ac:dyDescent="0.2">
      <c r="A17" s="27" t="s">
        <v>3</v>
      </c>
      <c r="B17" s="4" t="s">
        <v>4</v>
      </c>
      <c r="C17" s="4" t="s">
        <v>83</v>
      </c>
      <c r="D17" s="4" t="s">
        <v>84</v>
      </c>
      <c r="E17" s="4" t="s">
        <v>85</v>
      </c>
      <c r="F17" s="4" t="s">
        <v>83</v>
      </c>
      <c r="G17" s="4" t="s">
        <v>84</v>
      </c>
      <c r="H17" s="4" t="s">
        <v>85</v>
      </c>
      <c r="I17" s="4" t="s">
        <v>83</v>
      </c>
      <c r="J17" s="4" t="s">
        <v>84</v>
      </c>
      <c r="K17" s="4" t="s">
        <v>85</v>
      </c>
      <c r="L17" s="4" t="s">
        <v>88</v>
      </c>
    </row>
    <row r="18" spans="1:12" x14ac:dyDescent="0.2">
      <c r="A18" s="243" t="s">
        <v>135</v>
      </c>
      <c r="B18" s="244"/>
      <c r="C18" s="18"/>
      <c r="D18" s="18"/>
      <c r="E18" s="18"/>
      <c r="F18" s="18"/>
      <c r="G18" s="18"/>
      <c r="H18" s="18"/>
      <c r="I18" s="18"/>
      <c r="J18" s="18"/>
      <c r="K18" s="28"/>
      <c r="L18" s="28"/>
    </row>
    <row r="19" spans="1:12" x14ac:dyDescent="0.2">
      <c r="A19" s="29">
        <v>11101</v>
      </c>
      <c r="B19" s="14" t="s">
        <v>133</v>
      </c>
      <c r="C19" s="15">
        <v>4</v>
      </c>
      <c r="D19" s="15">
        <v>10</v>
      </c>
      <c r="E19" s="15">
        <v>20</v>
      </c>
      <c r="F19" s="1">
        <v>1</v>
      </c>
      <c r="I19" s="16">
        <f>C19*F19</f>
        <v>4</v>
      </c>
      <c r="J19" s="16">
        <f>D19*G19</f>
        <v>0</v>
      </c>
      <c r="K19" s="63">
        <f>E19*H19</f>
        <v>0</v>
      </c>
      <c r="L19" s="2">
        <f>I19+J19+K19</f>
        <v>4</v>
      </c>
    </row>
    <row r="20" spans="1:12" x14ac:dyDescent="0.2">
      <c r="A20" s="29">
        <v>11102</v>
      </c>
      <c r="B20" s="14" t="s">
        <v>134</v>
      </c>
      <c r="C20" s="6">
        <v>2</v>
      </c>
      <c r="D20" s="6">
        <v>4</v>
      </c>
      <c r="E20" s="6">
        <v>8</v>
      </c>
      <c r="I20" s="16">
        <f t="shared" ref="I20:K28" si="0">C20*F20</f>
        <v>0</v>
      </c>
      <c r="J20" s="16">
        <f t="shared" si="0"/>
        <v>0</v>
      </c>
      <c r="K20" s="63">
        <f t="shared" si="0"/>
        <v>0</v>
      </c>
      <c r="L20" s="2">
        <f t="shared" ref="L20:L28" si="1">I20+J20+K20</f>
        <v>0</v>
      </c>
    </row>
    <row r="21" spans="1:12" x14ac:dyDescent="0.2">
      <c r="A21" s="29">
        <v>11103</v>
      </c>
      <c r="B21" s="14" t="s">
        <v>14</v>
      </c>
      <c r="C21" s="6">
        <v>2</v>
      </c>
      <c r="D21" s="6">
        <v>4</v>
      </c>
      <c r="E21" s="6">
        <v>8</v>
      </c>
      <c r="I21" s="16">
        <f t="shared" si="0"/>
        <v>0</v>
      </c>
      <c r="J21" s="16">
        <f t="shared" si="0"/>
        <v>0</v>
      </c>
      <c r="K21" s="63">
        <f t="shared" si="0"/>
        <v>0</v>
      </c>
      <c r="L21" s="2">
        <f t="shared" si="1"/>
        <v>0</v>
      </c>
    </row>
    <row r="22" spans="1:12" x14ac:dyDescent="0.2">
      <c r="A22" s="243" t="s">
        <v>136</v>
      </c>
      <c r="B22" s="244"/>
      <c r="C22" s="17"/>
      <c r="D22" s="17"/>
      <c r="E22" s="17"/>
      <c r="F22" s="18"/>
      <c r="G22" s="18"/>
      <c r="H22" s="18"/>
      <c r="I22" s="18"/>
      <c r="J22" s="18"/>
      <c r="K22" s="18"/>
      <c r="L22" s="18"/>
    </row>
    <row r="23" spans="1:12" x14ac:dyDescent="0.2">
      <c r="A23" s="29">
        <v>12101</v>
      </c>
      <c r="B23" s="14" t="s">
        <v>136</v>
      </c>
      <c r="C23" s="15">
        <v>4</v>
      </c>
      <c r="D23" s="15">
        <v>10</v>
      </c>
      <c r="E23" s="15">
        <v>20</v>
      </c>
      <c r="G23" s="1">
        <v>1</v>
      </c>
      <c r="I23" s="16">
        <f t="shared" si="0"/>
        <v>0</v>
      </c>
      <c r="J23" s="16">
        <f t="shared" si="0"/>
        <v>10</v>
      </c>
      <c r="K23" s="63">
        <f t="shared" si="0"/>
        <v>0</v>
      </c>
      <c r="L23" s="2">
        <f t="shared" si="1"/>
        <v>10</v>
      </c>
    </row>
    <row r="24" spans="1:12" x14ac:dyDescent="0.2">
      <c r="A24" s="243" t="s">
        <v>137</v>
      </c>
      <c r="B24" s="244"/>
      <c r="C24" s="17"/>
      <c r="D24" s="17"/>
      <c r="E24" s="17"/>
      <c r="F24" s="18"/>
      <c r="G24" s="18"/>
      <c r="H24" s="18"/>
      <c r="I24" s="18"/>
      <c r="J24" s="18"/>
      <c r="K24" s="18"/>
      <c r="L24" s="18"/>
    </row>
    <row r="25" spans="1:12" x14ac:dyDescent="0.2">
      <c r="A25" s="29">
        <v>13101</v>
      </c>
      <c r="B25" s="14" t="s">
        <v>138</v>
      </c>
      <c r="C25" s="15">
        <v>40</v>
      </c>
      <c r="D25" s="15">
        <v>80</v>
      </c>
      <c r="E25" s="15">
        <v>120</v>
      </c>
      <c r="G25" s="1">
        <v>1</v>
      </c>
      <c r="I25" s="16">
        <f t="shared" si="0"/>
        <v>0</v>
      </c>
      <c r="J25" s="16">
        <f t="shared" si="0"/>
        <v>80</v>
      </c>
      <c r="K25" s="63">
        <f t="shared" si="0"/>
        <v>0</v>
      </c>
      <c r="L25" s="2">
        <f t="shared" si="1"/>
        <v>80</v>
      </c>
    </row>
    <row r="26" spans="1:12" x14ac:dyDescent="0.2">
      <c r="A26" s="243" t="s">
        <v>5</v>
      </c>
      <c r="B26" s="244"/>
      <c r="C26" s="17"/>
      <c r="D26" s="17" t="s">
        <v>87</v>
      </c>
      <c r="E26" s="17" t="s">
        <v>87</v>
      </c>
      <c r="F26" s="18"/>
      <c r="G26" s="18"/>
      <c r="H26" s="18"/>
      <c r="I26" s="18"/>
      <c r="J26" s="18"/>
      <c r="K26" s="18"/>
      <c r="L26" s="18"/>
    </row>
    <row r="27" spans="1:12" x14ac:dyDescent="0.2">
      <c r="A27" s="29">
        <v>14101</v>
      </c>
      <c r="B27" s="14" t="s">
        <v>139</v>
      </c>
      <c r="C27" s="15">
        <v>4</v>
      </c>
      <c r="D27" s="15">
        <v>10</v>
      </c>
      <c r="E27" s="15">
        <v>40</v>
      </c>
      <c r="I27" s="16">
        <f t="shared" si="0"/>
        <v>0</v>
      </c>
      <c r="J27" s="16">
        <f t="shared" si="0"/>
        <v>0</v>
      </c>
      <c r="K27" s="63">
        <f t="shared" si="0"/>
        <v>0</v>
      </c>
      <c r="L27" s="2">
        <f t="shared" si="1"/>
        <v>0</v>
      </c>
    </row>
    <row r="28" spans="1:12" x14ac:dyDescent="0.2">
      <c r="A28" s="29">
        <v>14102</v>
      </c>
      <c r="B28" s="14" t="s">
        <v>140</v>
      </c>
      <c r="C28" s="6">
        <v>4</v>
      </c>
      <c r="D28" s="6">
        <v>10</v>
      </c>
      <c r="E28" s="6">
        <v>40</v>
      </c>
      <c r="I28" s="16">
        <f t="shared" si="0"/>
        <v>0</v>
      </c>
      <c r="J28" s="16">
        <f t="shared" si="0"/>
        <v>0</v>
      </c>
      <c r="K28" s="63">
        <f t="shared" si="0"/>
        <v>0</v>
      </c>
      <c r="L28" s="2">
        <f t="shared" si="1"/>
        <v>0</v>
      </c>
    </row>
    <row r="29" spans="1:12" ht="13.5" thickBot="1" x14ac:dyDescent="0.25">
      <c r="A29" s="66" t="str">
        <f>"Tamaño:"&amp;B15</f>
        <v>Tamaño:E-05 Estadísticas de pedidos y ventas</v>
      </c>
      <c r="B29" s="62"/>
      <c r="C29" s="67"/>
      <c r="D29" s="67"/>
      <c r="E29" s="67"/>
      <c r="F29" s="44">
        <f>SUM(F19:F28)</f>
        <v>1</v>
      </c>
      <c r="G29" s="44">
        <f>SUM(G18:G28)</f>
        <v>2</v>
      </c>
      <c r="H29" s="44">
        <f>SUM(H19:H28)</f>
        <v>0</v>
      </c>
      <c r="I29" s="68">
        <f>SUM(I18:I28)</f>
        <v>4</v>
      </c>
      <c r="J29" s="68">
        <f>SUM(J18:J28)</f>
        <v>90</v>
      </c>
      <c r="K29" s="69">
        <f>SUM(K18:K28)</f>
        <v>0</v>
      </c>
      <c r="L29" s="69">
        <f>SUM(L19:L28)</f>
        <v>94</v>
      </c>
    </row>
    <row r="30" spans="1:12" ht="13.5" thickBot="1" x14ac:dyDescent="0.25">
      <c r="A30" s="7"/>
      <c r="B30" s="70"/>
      <c r="C30" s="71"/>
      <c r="D30" s="71"/>
      <c r="E30" s="71"/>
      <c r="F30" s="7"/>
      <c r="G30" s="7"/>
      <c r="H30" s="7"/>
      <c r="I30" s="7"/>
      <c r="J30" s="7"/>
      <c r="K30" s="7"/>
      <c r="L30" s="57"/>
    </row>
    <row r="31" spans="1:12" ht="13.5" thickBot="1" x14ac:dyDescent="0.25">
      <c r="A31" s="64" t="s">
        <v>89</v>
      </c>
      <c r="B31" s="72"/>
      <c r="C31" s="72"/>
      <c r="D31" s="72"/>
      <c r="E31" s="72"/>
      <c r="F31" s="74" t="s">
        <v>79</v>
      </c>
      <c r="G31" s="72"/>
      <c r="H31" s="72"/>
      <c r="I31" s="76">
        <f>I29*Complejidad!$G$25</f>
        <v>4</v>
      </c>
      <c r="J31" s="77">
        <f>J29*Complejidad!$G$25</f>
        <v>90</v>
      </c>
      <c r="K31" s="78">
        <f>K29*Complejidad!$G$25</f>
        <v>0</v>
      </c>
      <c r="L31" s="78">
        <f>L29*Complejidad!$G$25</f>
        <v>94</v>
      </c>
    </row>
    <row r="32" spans="1:12" ht="12" thickBot="1" x14ac:dyDescent="0.25"/>
    <row r="33" spans="1:12" ht="13.5" thickBot="1" x14ac:dyDescent="0.25">
      <c r="A33" s="64" t="s">
        <v>77</v>
      </c>
      <c r="B33" s="72"/>
      <c r="C33" s="81">
        <f>Complejidad!D27</f>
        <v>1</v>
      </c>
      <c r="D33" s="73"/>
      <c r="E33" s="73"/>
      <c r="F33" s="74" t="s">
        <v>78</v>
      </c>
      <c r="G33" s="72"/>
      <c r="H33" s="72"/>
      <c r="I33" s="72"/>
      <c r="J33" s="72"/>
      <c r="K33" s="72"/>
      <c r="L33" s="65"/>
    </row>
    <row r="34" spans="1:12" ht="13.5" thickBot="1" x14ac:dyDescent="0.25">
      <c r="A34" s="7"/>
      <c r="B34" s="57"/>
      <c r="C34" s="71"/>
      <c r="D34" s="71"/>
      <c r="E34" s="71"/>
      <c r="F34" s="75"/>
      <c r="G34" s="57"/>
      <c r="H34" s="57"/>
      <c r="I34" s="57"/>
      <c r="J34" s="57"/>
      <c r="K34" s="57"/>
      <c r="L34" s="57"/>
    </row>
    <row r="35" spans="1:12" ht="18.75" thickBot="1" x14ac:dyDescent="0.3">
      <c r="A35" s="64" t="s">
        <v>76</v>
      </c>
      <c r="B35" s="79"/>
      <c r="C35" s="72"/>
      <c r="D35" s="72"/>
      <c r="E35" s="72"/>
      <c r="F35" s="74" t="s">
        <v>79</v>
      </c>
      <c r="G35" s="72"/>
      <c r="H35" s="65"/>
      <c r="I35" s="80">
        <f>I31/$C$33</f>
        <v>4</v>
      </c>
      <c r="J35" s="77">
        <f>J31/$C$33</f>
        <v>90</v>
      </c>
      <c r="K35" s="78">
        <f>K31/$C$33</f>
        <v>0</v>
      </c>
      <c r="L35" s="148">
        <f>L31/$C$33</f>
        <v>94</v>
      </c>
    </row>
    <row r="52" spans="13:13" ht="12.75" x14ac:dyDescent="0.2">
      <c r="M52" s="57"/>
    </row>
    <row r="53" spans="13:13" ht="12.75" x14ac:dyDescent="0.2">
      <c r="M53" s="57"/>
    </row>
    <row r="56" spans="13:13" ht="12.75" x14ac:dyDescent="0.2">
      <c r="M56" s="57"/>
    </row>
    <row r="57" spans="13:13" ht="12.75" x14ac:dyDescent="0.2">
      <c r="M57" s="57"/>
    </row>
    <row r="58" spans="13:13" ht="12.75" x14ac:dyDescent="0.2">
      <c r="M58" s="57"/>
    </row>
    <row r="79" spans="1:13" s="57" customFormat="1" ht="12.75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1:13" s="57" customFormat="1" ht="12.75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3" spans="1:13" s="57" customFormat="1" ht="12.75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1:13" s="57" customFormat="1" ht="12.75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1:13" s="57" customFormat="1" ht="12.75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</sheetData>
  <dataConsolidate/>
  <mergeCells count="9">
    <mergeCell ref="A22:B22"/>
    <mergeCell ref="A24:B24"/>
    <mergeCell ref="A26:B26"/>
    <mergeCell ref="A11:J11"/>
    <mergeCell ref="A16:B16"/>
    <mergeCell ref="C16:E16"/>
    <mergeCell ref="F16:H16"/>
    <mergeCell ref="I16:L16"/>
    <mergeCell ref="A18:B18"/>
  </mergeCells>
  <printOptions horizontalCentered="1"/>
  <pageMargins left="0.31496062992125984" right="0.31496062992125984" top="1.0208333333333333" bottom="0.98425196850393704" header="0.35433070866141736" footer="0.35433070866141736"/>
  <pageSetup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90A15-FE99-4FF5-A5CD-3F2E5166B229}">
  <sheetPr>
    <pageSetUpPr fitToPage="1"/>
  </sheetPr>
  <dimension ref="A1:M85"/>
  <sheetViews>
    <sheetView view="pageLayout" topLeftCell="A14" zoomScale="160" zoomScaleNormal="100" zoomScalePageLayoutView="160" workbookViewId="0">
      <selection activeCell="H22" sqref="H22"/>
    </sheetView>
  </sheetViews>
  <sheetFormatPr baseColWidth="10" defaultColWidth="9.140625" defaultRowHeight="11.25" x14ac:dyDescent="0.2"/>
  <cols>
    <col min="1" max="1" width="8.85546875" style="1" customWidth="1"/>
    <col min="2" max="2" width="22" style="1" customWidth="1"/>
    <col min="3" max="5" width="12.28515625" style="1" customWidth="1"/>
    <col min="6" max="7" width="8.140625" style="1" customWidth="1"/>
    <col min="8" max="8" width="9.85546875" style="1" customWidth="1"/>
    <col min="9" max="10" width="8.140625" style="1" customWidth="1"/>
    <col min="11" max="11" width="9.7109375" style="1" customWidth="1"/>
    <col min="12" max="16384" width="9.140625" style="1"/>
  </cols>
  <sheetData>
    <row r="1" spans="1:12" x14ac:dyDescent="0.2">
      <c r="A1" s="19" t="s">
        <v>71</v>
      </c>
    </row>
    <row r="3" spans="1:12" x14ac:dyDescent="0.2">
      <c r="A3" s="1" t="s">
        <v>67</v>
      </c>
    </row>
    <row r="4" spans="1:12" x14ac:dyDescent="0.2">
      <c r="A4" s="1" t="s">
        <v>63</v>
      </c>
    </row>
    <row r="5" spans="1:12" x14ac:dyDescent="0.2">
      <c r="A5" s="1" t="s">
        <v>62</v>
      </c>
    </row>
    <row r="6" spans="1:12" x14ac:dyDescent="0.2">
      <c r="A6" s="1" t="s">
        <v>68</v>
      </c>
    </row>
    <row r="7" spans="1:12" x14ac:dyDescent="0.2">
      <c r="A7" s="1" t="s">
        <v>69</v>
      </c>
    </row>
    <row r="8" spans="1:12" x14ac:dyDescent="0.2">
      <c r="A8" s="1" t="s">
        <v>70</v>
      </c>
    </row>
    <row r="9" spans="1:12" x14ac:dyDescent="0.2">
      <c r="A9" s="1" t="s">
        <v>72</v>
      </c>
    </row>
    <row r="10" spans="1:12" ht="12" thickBot="1" x14ac:dyDescent="0.25"/>
    <row r="11" spans="1:12" customFormat="1" ht="12.75" x14ac:dyDescent="0.2">
      <c r="A11" s="245" t="s">
        <v>65</v>
      </c>
      <c r="B11" s="246"/>
      <c r="C11" s="246"/>
      <c r="D11" s="246"/>
      <c r="E11" s="246"/>
      <c r="F11" s="246"/>
      <c r="G11" s="246"/>
      <c r="H11" s="246"/>
      <c r="I11" s="246"/>
      <c r="J11" s="247"/>
      <c r="K11" s="20"/>
    </row>
    <row r="12" spans="1:12" customFormat="1" ht="12.75" x14ac:dyDescent="0.2">
      <c r="A12" s="21" t="s">
        <v>60</v>
      </c>
      <c r="B12" s="239" t="s">
        <v>155</v>
      </c>
      <c r="C12" s="54"/>
      <c r="D12" s="54"/>
      <c r="E12" s="54"/>
      <c r="F12" s="54"/>
      <c r="G12" s="54"/>
      <c r="H12" s="54"/>
      <c r="I12" s="11"/>
      <c r="J12" s="13"/>
      <c r="K12" s="22"/>
    </row>
    <row r="13" spans="1:12" customFormat="1" ht="12.75" x14ac:dyDescent="0.2">
      <c r="A13" s="23" t="s">
        <v>59</v>
      </c>
      <c r="B13" s="239" t="s">
        <v>156</v>
      </c>
      <c r="C13" s="55"/>
      <c r="D13" s="55"/>
      <c r="E13" s="55"/>
      <c r="F13" s="55"/>
      <c r="G13" s="55"/>
      <c r="H13" s="55"/>
      <c r="I13" s="12"/>
      <c r="J13" s="13"/>
      <c r="K13" s="24"/>
    </row>
    <row r="14" spans="1:12" customFormat="1" ht="13.5" thickBot="1" x14ac:dyDescent="0.25">
      <c r="A14" s="25" t="s">
        <v>61</v>
      </c>
      <c r="B14" s="240">
        <v>46315</v>
      </c>
      <c r="C14" s="55"/>
      <c r="D14" s="55"/>
      <c r="E14" s="55"/>
      <c r="F14" s="55"/>
      <c r="G14" s="55"/>
      <c r="H14" s="55"/>
      <c r="I14" s="12"/>
      <c r="J14" s="13"/>
      <c r="K14" s="26"/>
    </row>
    <row r="15" spans="1:12" customFormat="1" ht="13.5" thickBot="1" x14ac:dyDescent="0.25">
      <c r="A15" s="58" t="s">
        <v>82</v>
      </c>
      <c r="B15" s="238" t="s">
        <v>163</v>
      </c>
      <c r="C15" s="59"/>
      <c r="D15" s="59"/>
      <c r="E15" s="59"/>
      <c r="F15" s="59"/>
      <c r="G15" s="59"/>
      <c r="H15" s="59"/>
      <c r="I15" s="60"/>
      <c r="J15" s="61"/>
      <c r="K15" s="24"/>
    </row>
    <row r="16" spans="1:12" ht="33.75" customHeight="1" x14ac:dyDescent="0.2">
      <c r="A16" s="248" t="s">
        <v>0</v>
      </c>
      <c r="B16" s="249"/>
      <c r="C16" s="250" t="s">
        <v>86</v>
      </c>
      <c r="D16" s="251"/>
      <c r="E16" s="252"/>
      <c r="F16" s="249" t="s">
        <v>1</v>
      </c>
      <c r="G16" s="249"/>
      <c r="H16" s="249"/>
      <c r="I16" s="253" t="s">
        <v>2</v>
      </c>
      <c r="J16" s="254"/>
      <c r="K16" s="254"/>
      <c r="L16" s="254"/>
    </row>
    <row r="17" spans="1:12" s="5" customFormat="1" x14ac:dyDescent="0.2">
      <c r="A17" s="27" t="s">
        <v>3</v>
      </c>
      <c r="B17" s="4" t="s">
        <v>4</v>
      </c>
      <c r="C17" s="4" t="s">
        <v>83</v>
      </c>
      <c r="D17" s="4" t="s">
        <v>84</v>
      </c>
      <c r="E17" s="4" t="s">
        <v>85</v>
      </c>
      <c r="F17" s="4" t="s">
        <v>83</v>
      </c>
      <c r="G17" s="4" t="s">
        <v>84</v>
      </c>
      <c r="H17" s="4" t="s">
        <v>85</v>
      </c>
      <c r="I17" s="4" t="s">
        <v>83</v>
      </c>
      <c r="J17" s="4" t="s">
        <v>84</v>
      </c>
      <c r="K17" s="4" t="s">
        <v>85</v>
      </c>
      <c r="L17" s="4" t="s">
        <v>88</v>
      </c>
    </row>
    <row r="18" spans="1:12" x14ac:dyDescent="0.2">
      <c r="A18" s="243" t="s">
        <v>135</v>
      </c>
      <c r="B18" s="244"/>
      <c r="C18" s="18"/>
      <c r="D18" s="18"/>
      <c r="E18" s="18"/>
      <c r="F18" s="18"/>
      <c r="G18" s="18"/>
      <c r="H18" s="18"/>
      <c r="I18" s="18"/>
      <c r="J18" s="18"/>
      <c r="K18" s="28"/>
      <c r="L18" s="28"/>
    </row>
    <row r="19" spans="1:12" x14ac:dyDescent="0.2">
      <c r="A19" s="29">
        <v>11101</v>
      </c>
      <c r="B19" s="14" t="s">
        <v>133</v>
      </c>
      <c r="C19" s="15">
        <v>4</v>
      </c>
      <c r="D19" s="15">
        <v>10</v>
      </c>
      <c r="E19" s="15">
        <v>20</v>
      </c>
      <c r="G19" s="1">
        <v>2</v>
      </c>
      <c r="I19" s="16">
        <f>C19*F19</f>
        <v>0</v>
      </c>
      <c r="J19" s="16">
        <f>D19*G19</f>
        <v>20</v>
      </c>
      <c r="K19" s="63">
        <f>E19*H19</f>
        <v>0</v>
      </c>
      <c r="L19" s="2">
        <f>I19+J19+K19</f>
        <v>20</v>
      </c>
    </row>
    <row r="20" spans="1:12" x14ac:dyDescent="0.2">
      <c r="A20" s="29">
        <v>11102</v>
      </c>
      <c r="B20" s="14" t="s">
        <v>134</v>
      </c>
      <c r="C20" s="6">
        <v>2</v>
      </c>
      <c r="D20" s="6">
        <v>4</v>
      </c>
      <c r="E20" s="6">
        <v>8</v>
      </c>
      <c r="G20" s="1">
        <v>1</v>
      </c>
      <c r="I20" s="16">
        <f t="shared" ref="I20:K28" si="0">C20*F20</f>
        <v>0</v>
      </c>
      <c r="J20" s="16">
        <f t="shared" si="0"/>
        <v>4</v>
      </c>
      <c r="K20" s="63">
        <f t="shared" si="0"/>
        <v>0</v>
      </c>
      <c r="L20" s="2">
        <f t="shared" ref="L20:L28" si="1">I20+J20+K20</f>
        <v>4</v>
      </c>
    </row>
    <row r="21" spans="1:12" x14ac:dyDescent="0.2">
      <c r="A21" s="29">
        <v>11103</v>
      </c>
      <c r="B21" s="14" t="s">
        <v>14</v>
      </c>
      <c r="C21" s="6">
        <v>2</v>
      </c>
      <c r="D21" s="6">
        <v>4</v>
      </c>
      <c r="E21" s="6">
        <v>8</v>
      </c>
      <c r="H21" s="1">
        <v>2</v>
      </c>
      <c r="I21" s="16">
        <f t="shared" si="0"/>
        <v>0</v>
      </c>
      <c r="J21" s="16">
        <f t="shared" si="0"/>
        <v>0</v>
      </c>
      <c r="K21" s="63">
        <f t="shared" si="0"/>
        <v>16</v>
      </c>
      <c r="L21" s="2">
        <f t="shared" si="1"/>
        <v>16</v>
      </c>
    </row>
    <row r="22" spans="1:12" x14ac:dyDescent="0.2">
      <c r="A22" s="243" t="s">
        <v>136</v>
      </c>
      <c r="B22" s="244"/>
      <c r="C22" s="17"/>
      <c r="D22" s="17"/>
      <c r="E22" s="17"/>
      <c r="F22" s="18"/>
      <c r="G22" s="18"/>
      <c r="H22" s="18"/>
      <c r="I22" s="18"/>
      <c r="J22" s="18"/>
      <c r="K22" s="18"/>
      <c r="L22" s="18"/>
    </row>
    <row r="23" spans="1:12" x14ac:dyDescent="0.2">
      <c r="A23" s="29">
        <v>12101</v>
      </c>
      <c r="B23" s="14" t="s">
        <v>136</v>
      </c>
      <c r="C23" s="15">
        <v>4</v>
      </c>
      <c r="D23" s="15">
        <v>10</v>
      </c>
      <c r="E23" s="15">
        <v>20</v>
      </c>
      <c r="I23" s="16">
        <f t="shared" si="0"/>
        <v>0</v>
      </c>
      <c r="J23" s="16">
        <f t="shared" si="0"/>
        <v>0</v>
      </c>
      <c r="K23" s="63">
        <f t="shared" si="0"/>
        <v>0</v>
      </c>
      <c r="L23" s="2">
        <f t="shared" si="1"/>
        <v>0</v>
      </c>
    </row>
    <row r="24" spans="1:12" x14ac:dyDescent="0.2">
      <c r="A24" s="243" t="s">
        <v>137</v>
      </c>
      <c r="B24" s="244"/>
      <c r="C24" s="17"/>
      <c r="D24" s="17"/>
      <c r="E24" s="17"/>
      <c r="F24" s="18"/>
      <c r="G24" s="18"/>
      <c r="H24" s="18"/>
      <c r="I24" s="18"/>
      <c r="J24" s="18"/>
      <c r="K24" s="18"/>
      <c r="L24" s="18"/>
    </row>
    <row r="25" spans="1:12" x14ac:dyDescent="0.2">
      <c r="A25" s="29">
        <v>13101</v>
      </c>
      <c r="B25" s="14" t="s">
        <v>138</v>
      </c>
      <c r="C25" s="15">
        <v>40</v>
      </c>
      <c r="D25" s="15">
        <v>80</v>
      </c>
      <c r="E25" s="15">
        <v>120</v>
      </c>
      <c r="F25" s="242"/>
      <c r="G25" s="1">
        <v>1</v>
      </c>
      <c r="I25" s="16">
        <f t="shared" si="0"/>
        <v>0</v>
      </c>
      <c r="J25" s="16">
        <f t="shared" si="0"/>
        <v>80</v>
      </c>
      <c r="K25" s="63">
        <f t="shared" si="0"/>
        <v>0</v>
      </c>
      <c r="L25" s="2">
        <f t="shared" si="1"/>
        <v>80</v>
      </c>
    </row>
    <row r="26" spans="1:12" x14ac:dyDescent="0.2">
      <c r="A26" s="243" t="s">
        <v>5</v>
      </c>
      <c r="B26" s="244"/>
      <c r="C26" s="17"/>
      <c r="D26" s="17" t="s">
        <v>87</v>
      </c>
      <c r="E26" s="17" t="s">
        <v>87</v>
      </c>
      <c r="F26" s="18"/>
      <c r="G26" s="18"/>
      <c r="H26" s="18"/>
      <c r="I26" s="18"/>
      <c r="J26" s="18"/>
      <c r="K26" s="18"/>
      <c r="L26" s="18"/>
    </row>
    <row r="27" spans="1:12" x14ac:dyDescent="0.2">
      <c r="A27" s="29">
        <v>14101</v>
      </c>
      <c r="B27" s="14" t="s">
        <v>139</v>
      </c>
      <c r="C27" s="15">
        <v>4</v>
      </c>
      <c r="D27" s="15">
        <v>10</v>
      </c>
      <c r="E27" s="15">
        <v>40</v>
      </c>
      <c r="I27" s="16">
        <f t="shared" si="0"/>
        <v>0</v>
      </c>
      <c r="J27" s="16">
        <f t="shared" si="0"/>
        <v>0</v>
      </c>
      <c r="K27" s="63">
        <f t="shared" si="0"/>
        <v>0</v>
      </c>
      <c r="L27" s="2">
        <f t="shared" si="1"/>
        <v>0</v>
      </c>
    </row>
    <row r="28" spans="1:12" x14ac:dyDescent="0.2">
      <c r="A28" s="29">
        <v>14102</v>
      </c>
      <c r="B28" s="14" t="s">
        <v>140</v>
      </c>
      <c r="C28" s="6">
        <v>4</v>
      </c>
      <c r="D28" s="6">
        <v>10</v>
      </c>
      <c r="E28" s="6">
        <v>40</v>
      </c>
      <c r="I28" s="16">
        <f t="shared" si="0"/>
        <v>0</v>
      </c>
      <c r="J28" s="16">
        <f t="shared" si="0"/>
        <v>0</v>
      </c>
      <c r="K28" s="63">
        <f t="shared" si="0"/>
        <v>0</v>
      </c>
      <c r="L28" s="2">
        <f t="shared" si="1"/>
        <v>0</v>
      </c>
    </row>
    <row r="29" spans="1:12" ht="13.5" thickBot="1" x14ac:dyDescent="0.25">
      <c r="A29" s="66" t="str">
        <f>"Tamaño:"&amp;B15</f>
        <v>Tamaño:E-06 Administración de acceso y permisos</v>
      </c>
      <c r="B29" s="62"/>
      <c r="C29" s="67"/>
      <c r="D29" s="67"/>
      <c r="E29" s="67"/>
      <c r="F29" s="44">
        <f>SUM(F19:F28)</f>
        <v>0</v>
      </c>
      <c r="G29" s="44">
        <f>SUM(G18:G28)</f>
        <v>4</v>
      </c>
      <c r="H29" s="44">
        <f>SUM(H19:H28)</f>
        <v>2</v>
      </c>
      <c r="I29" s="68">
        <f>SUM(I18:I28)</f>
        <v>0</v>
      </c>
      <c r="J29" s="68">
        <f>SUM(J18:J28)</f>
        <v>104</v>
      </c>
      <c r="K29" s="69">
        <f>SUM(K18:K28)</f>
        <v>16</v>
      </c>
      <c r="L29" s="69">
        <f>SUM(L19:L28)</f>
        <v>120</v>
      </c>
    </row>
    <row r="30" spans="1:12" ht="13.5" thickBot="1" x14ac:dyDescent="0.25">
      <c r="A30" s="7"/>
      <c r="B30" s="70"/>
      <c r="C30" s="71"/>
      <c r="D30" s="71"/>
      <c r="E30" s="71"/>
      <c r="F30" s="7"/>
      <c r="G30" s="7"/>
      <c r="H30" s="7"/>
      <c r="I30" s="7"/>
      <c r="J30" s="7"/>
      <c r="K30" s="7"/>
      <c r="L30" s="57"/>
    </row>
    <row r="31" spans="1:12" ht="13.5" thickBot="1" x14ac:dyDescent="0.25">
      <c r="A31" s="64" t="s">
        <v>89</v>
      </c>
      <c r="B31" s="72"/>
      <c r="C31" s="72"/>
      <c r="D31" s="72"/>
      <c r="E31" s="72"/>
      <c r="F31" s="74" t="s">
        <v>79</v>
      </c>
      <c r="G31" s="72"/>
      <c r="H31" s="72"/>
      <c r="I31" s="76">
        <f>I29*Complejidad!$G$25</f>
        <v>0</v>
      </c>
      <c r="J31" s="77">
        <f>J29*Complejidad!$G$25</f>
        <v>104</v>
      </c>
      <c r="K31" s="78">
        <f>K29*Complejidad!$G$25</f>
        <v>16</v>
      </c>
      <c r="L31" s="78">
        <f>L29*Complejidad!$G$25</f>
        <v>120</v>
      </c>
    </row>
    <row r="32" spans="1:12" ht="12" thickBot="1" x14ac:dyDescent="0.25"/>
    <row r="33" spans="1:12" ht="13.5" thickBot="1" x14ac:dyDescent="0.25">
      <c r="A33" s="64" t="s">
        <v>77</v>
      </c>
      <c r="B33" s="72"/>
      <c r="C33" s="81">
        <f>Complejidad!D27</f>
        <v>1</v>
      </c>
      <c r="D33" s="73"/>
      <c r="E33" s="73"/>
      <c r="F33" s="74" t="s">
        <v>78</v>
      </c>
      <c r="G33" s="72"/>
      <c r="H33" s="72"/>
      <c r="I33" s="72"/>
      <c r="J33" s="72"/>
      <c r="K33" s="72"/>
      <c r="L33" s="65"/>
    </row>
    <row r="34" spans="1:12" ht="13.5" thickBot="1" x14ac:dyDescent="0.25">
      <c r="A34" s="7"/>
      <c r="B34" s="57"/>
      <c r="C34" s="71"/>
      <c r="D34" s="71"/>
      <c r="E34" s="71"/>
      <c r="F34" s="75"/>
      <c r="G34" s="57"/>
      <c r="H34" s="57"/>
      <c r="I34" s="57"/>
      <c r="J34" s="57"/>
      <c r="K34" s="57"/>
      <c r="L34" s="57"/>
    </row>
    <row r="35" spans="1:12" ht="18.75" thickBot="1" x14ac:dyDescent="0.3">
      <c r="A35" s="64" t="s">
        <v>76</v>
      </c>
      <c r="B35" s="79"/>
      <c r="C35" s="72"/>
      <c r="D35" s="72"/>
      <c r="E35" s="72"/>
      <c r="F35" s="74" t="s">
        <v>79</v>
      </c>
      <c r="G35" s="72"/>
      <c r="H35" s="65"/>
      <c r="I35" s="80">
        <f>I31/$C$33</f>
        <v>0</v>
      </c>
      <c r="J35" s="77">
        <f>J31/$C$33</f>
        <v>104</v>
      </c>
      <c r="K35" s="78">
        <f>K31/$C$33</f>
        <v>16</v>
      </c>
      <c r="L35" s="148">
        <f>L31/$C$33</f>
        <v>120</v>
      </c>
    </row>
    <row r="52" spans="13:13" ht="12.75" x14ac:dyDescent="0.2">
      <c r="M52" s="57"/>
    </row>
    <row r="53" spans="13:13" ht="12.75" x14ac:dyDescent="0.2">
      <c r="M53" s="57"/>
    </row>
    <row r="56" spans="13:13" ht="12.75" x14ac:dyDescent="0.2">
      <c r="M56" s="57"/>
    </row>
    <row r="57" spans="13:13" ht="12.75" x14ac:dyDescent="0.2">
      <c r="M57" s="57"/>
    </row>
    <row r="58" spans="13:13" ht="12.75" x14ac:dyDescent="0.2">
      <c r="M58" s="57"/>
    </row>
    <row r="79" spans="1:13" s="57" customFormat="1" ht="12.75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1:13" s="57" customFormat="1" ht="12.75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3" spans="1:13" s="57" customFormat="1" ht="12.75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1:13" s="57" customFormat="1" ht="12.75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1:13" s="57" customFormat="1" ht="12.75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</sheetData>
  <dataConsolidate/>
  <mergeCells count="9">
    <mergeCell ref="A22:B22"/>
    <mergeCell ref="A24:B24"/>
    <mergeCell ref="A26:B26"/>
    <mergeCell ref="A11:J11"/>
    <mergeCell ref="A16:B16"/>
    <mergeCell ref="C16:E16"/>
    <mergeCell ref="F16:H16"/>
    <mergeCell ref="I16:L16"/>
    <mergeCell ref="A18:B18"/>
  </mergeCells>
  <printOptions horizontalCentered="1"/>
  <pageMargins left="0.31496062992125984" right="0.31496062992125984" top="1.0208333333333333" bottom="0.98425196850393704" header="0.35433070866141736" footer="0.35433070866141736"/>
  <pageSetup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>
    <pageSetUpPr fitToPage="1"/>
  </sheetPr>
  <dimension ref="B1:D159"/>
  <sheetViews>
    <sheetView zoomScaleNormal="100" workbookViewId="0">
      <selection activeCell="D8" sqref="D8"/>
    </sheetView>
  </sheetViews>
  <sheetFormatPr baseColWidth="10" defaultColWidth="9.140625" defaultRowHeight="12.75" x14ac:dyDescent="0.2"/>
  <cols>
    <col min="1" max="1" width="3.42578125" style="82" customWidth="1"/>
    <col min="2" max="2" width="4" style="82" bestFit="1" customWidth="1"/>
    <col min="3" max="3" width="53.42578125" style="82" customWidth="1"/>
    <col min="4" max="4" width="13.42578125" style="83" customWidth="1"/>
    <col min="5" max="5" width="3.42578125" style="82" customWidth="1"/>
    <col min="6" max="6" width="8" style="82" customWidth="1"/>
    <col min="7" max="16384" width="9.140625" style="82"/>
  </cols>
  <sheetData>
    <row r="1" spans="2:4" ht="12.75" customHeight="1" x14ac:dyDescent="0.2"/>
    <row r="2" spans="2:4" ht="12.75" customHeight="1" x14ac:dyDescent="0.2"/>
    <row r="3" spans="2:4" ht="12.75" customHeight="1" x14ac:dyDescent="0.2"/>
    <row r="4" spans="2:4" ht="12.75" customHeight="1" x14ac:dyDescent="0.2"/>
    <row r="5" spans="2:4" ht="12.75" customHeight="1" x14ac:dyDescent="0.2">
      <c r="B5" s="84" t="s">
        <v>100</v>
      </c>
      <c r="C5" s="85"/>
      <c r="D5" s="86"/>
    </row>
    <row r="6" spans="2:4" ht="12.75" customHeight="1" thickBot="1" x14ac:dyDescent="0.25"/>
    <row r="7" spans="2:4" s="90" customFormat="1" ht="42.75" customHeight="1" thickBot="1" x14ac:dyDescent="0.25">
      <c r="B7" s="87" t="s">
        <v>90</v>
      </c>
      <c r="C7" s="88" t="s">
        <v>91</v>
      </c>
      <c r="D7" s="89" t="s">
        <v>98</v>
      </c>
    </row>
    <row r="8" spans="2:4" x14ac:dyDescent="0.2">
      <c r="B8" s="97">
        <v>1</v>
      </c>
      <c r="C8" s="98" t="s">
        <v>159</v>
      </c>
      <c r="D8" s="99">
        <f>'E-01'!L35</f>
        <v>98</v>
      </c>
    </row>
    <row r="9" spans="2:4" x14ac:dyDescent="0.2">
      <c r="B9" s="91">
        <f>B8+1</f>
        <v>2</v>
      </c>
      <c r="C9" s="92" t="s">
        <v>160</v>
      </c>
      <c r="D9" s="93">
        <f>'E-02'!L35</f>
        <v>104</v>
      </c>
    </row>
    <row r="10" spans="2:4" x14ac:dyDescent="0.2">
      <c r="B10" s="91">
        <f>B9+1</f>
        <v>3</v>
      </c>
      <c r="C10" s="92" t="s">
        <v>158</v>
      </c>
      <c r="D10" s="93">
        <f>'E-03'!L35</f>
        <v>130</v>
      </c>
    </row>
    <row r="11" spans="2:4" x14ac:dyDescent="0.2">
      <c r="B11" s="91">
        <f>B10+1</f>
        <v>4</v>
      </c>
      <c r="C11" s="92" t="s">
        <v>161</v>
      </c>
      <c r="D11" s="93">
        <f>'E-04'!L35</f>
        <v>116</v>
      </c>
    </row>
    <row r="12" spans="2:4" x14ac:dyDescent="0.2">
      <c r="B12" s="91">
        <f>B11+1</f>
        <v>5</v>
      </c>
      <c r="C12" s="92" t="s">
        <v>162</v>
      </c>
      <c r="D12" s="93">
        <f>'E-05'!L35</f>
        <v>94</v>
      </c>
    </row>
    <row r="13" spans="2:4" ht="13.5" thickBot="1" x14ac:dyDescent="0.25">
      <c r="B13" s="94">
        <f>B12+1</f>
        <v>6</v>
      </c>
      <c r="C13" s="95" t="s">
        <v>163</v>
      </c>
      <c r="D13" s="96">
        <f>'E-06'!L35</f>
        <v>120</v>
      </c>
    </row>
    <row r="14" spans="2:4" ht="12.75" customHeight="1" thickBot="1" x14ac:dyDescent="0.25">
      <c r="B14" s="261" t="s">
        <v>132</v>
      </c>
      <c r="C14" s="262"/>
      <c r="D14" s="100">
        <f>SUM(D8:D13)</f>
        <v>662</v>
      </c>
    </row>
    <row r="15" spans="2:4" ht="12.75" customHeight="1" x14ac:dyDescent="0.2"/>
    <row r="16" spans="2:4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</sheetData>
  <mergeCells count="1">
    <mergeCell ref="B14:C14"/>
  </mergeCells>
  <phoneticPr fontId="13" type="noConversion"/>
  <pageMargins left="0.39370078740157483" right="0.39370078740157483" top="0.39370078740157483" bottom="0.39370078740157483" header="0" footer="0"/>
  <pageSetup scale="83" fitToHeight="1001" orientation="portrait" r:id="rId1"/>
  <headerFooter alignWithMargins="0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/>
  <dimension ref="B1:L32"/>
  <sheetViews>
    <sheetView zoomScaleNormal="100" workbookViewId="0">
      <selection activeCell="I29" sqref="I29"/>
    </sheetView>
  </sheetViews>
  <sheetFormatPr baseColWidth="10" defaultColWidth="9.140625" defaultRowHeight="12.75" x14ac:dyDescent="0.2"/>
  <cols>
    <col min="1" max="1" width="3.42578125" style="82" customWidth="1"/>
    <col min="2" max="2" width="3" style="82" bestFit="1" customWidth="1"/>
    <col min="3" max="3" width="36.28515625" style="82" customWidth="1"/>
    <col min="4" max="4" width="10" style="82" customWidth="1"/>
    <col min="5" max="5" width="11.85546875" style="82" customWidth="1"/>
    <col min="6" max="6" width="15.28515625" style="82" customWidth="1"/>
    <col min="7" max="7" width="3.42578125" style="82" customWidth="1"/>
    <col min="8" max="16384" width="9.140625" style="82"/>
  </cols>
  <sheetData>
    <row r="1" spans="2:12" ht="12.75" customHeight="1" x14ac:dyDescent="0.2"/>
    <row r="2" spans="2:12" ht="12.75" customHeight="1" x14ac:dyDescent="0.2">
      <c r="C2" s="101"/>
      <c r="D2" s="101"/>
      <c r="E2" s="101"/>
      <c r="F2" s="101"/>
    </row>
    <row r="3" spans="2:12" ht="12.75" customHeight="1" x14ac:dyDescent="0.2"/>
    <row r="4" spans="2:12" ht="12.75" customHeight="1" x14ac:dyDescent="0.2"/>
    <row r="5" spans="2:12" ht="12.75" customHeight="1" x14ac:dyDescent="0.2">
      <c r="B5" s="84" t="s">
        <v>99</v>
      </c>
      <c r="C5" s="85"/>
      <c r="D5" s="85"/>
      <c r="E5" s="85"/>
      <c r="F5" s="85"/>
    </row>
    <row r="6" spans="2:12" ht="12.75" customHeight="1" thickBot="1" x14ac:dyDescent="0.25"/>
    <row r="7" spans="2:12" ht="12.75" customHeight="1" thickBot="1" x14ac:dyDescent="0.25">
      <c r="B7" s="261" t="s">
        <v>101</v>
      </c>
      <c r="C7" s="263"/>
      <c r="D7" s="263"/>
      <c r="E7" s="263"/>
      <c r="F7" s="264"/>
    </row>
    <row r="8" spans="2:12" ht="12.75" customHeight="1" thickBot="1" x14ac:dyDescent="0.25">
      <c r="B8" s="102"/>
      <c r="C8" s="103"/>
      <c r="D8" s="103"/>
      <c r="E8" s="104">
        <f>SUM(E10:E16)</f>
        <v>2</v>
      </c>
      <c r="F8" s="105">
        <f>SUM(F10:F16)</f>
        <v>1324</v>
      </c>
    </row>
    <row r="9" spans="2:12" ht="12.75" customHeight="1" x14ac:dyDescent="0.2">
      <c r="B9" s="106" t="s">
        <v>102</v>
      </c>
      <c r="C9" s="107" t="s">
        <v>103</v>
      </c>
      <c r="D9" s="108" t="s">
        <v>104</v>
      </c>
      <c r="E9" s="108" t="s">
        <v>105</v>
      </c>
      <c r="F9" s="109" t="s">
        <v>106</v>
      </c>
    </row>
    <row r="10" spans="2:12" ht="12.75" customHeight="1" x14ac:dyDescent="0.2">
      <c r="B10" s="110">
        <v>1</v>
      </c>
      <c r="C10" s="82" t="s">
        <v>92</v>
      </c>
      <c r="D10" s="111"/>
      <c r="E10" s="112">
        <v>0.1</v>
      </c>
      <c r="F10" s="113">
        <f>D12*E10</f>
        <v>66.2</v>
      </c>
    </row>
    <row r="11" spans="2:12" ht="12.75" customHeight="1" x14ac:dyDescent="0.2">
      <c r="B11" s="110">
        <v>2</v>
      </c>
      <c r="C11" s="82" t="s">
        <v>107</v>
      </c>
      <c r="D11" s="111"/>
      <c r="E11" s="112">
        <v>0.3</v>
      </c>
      <c r="F11" s="113">
        <f>D12*E11</f>
        <v>198.6</v>
      </c>
    </row>
    <row r="12" spans="2:12" ht="12.75" customHeight="1" x14ac:dyDescent="0.2">
      <c r="B12" s="110">
        <f t="shared" ref="B12:B17" si="0">B11+1</f>
        <v>3</v>
      </c>
      <c r="C12" s="82" t="s">
        <v>108</v>
      </c>
      <c r="D12" s="111">
        <f>'Puntos de Función'!D14</f>
        <v>662</v>
      </c>
      <c r="E12" s="112">
        <v>1</v>
      </c>
      <c r="F12" s="113">
        <f>D12*E12</f>
        <v>662</v>
      </c>
    </row>
    <row r="13" spans="2:12" ht="12.75" customHeight="1" x14ac:dyDescent="0.2">
      <c r="B13" s="110">
        <f t="shared" si="0"/>
        <v>4</v>
      </c>
      <c r="C13" s="82" t="s">
        <v>93</v>
      </c>
      <c r="D13" s="111"/>
      <c r="E13" s="112">
        <v>0.25</v>
      </c>
      <c r="F13" s="113">
        <f>D12*E13</f>
        <v>165.5</v>
      </c>
    </row>
    <row r="14" spans="2:12" ht="12.75" customHeight="1" x14ac:dyDescent="0.2">
      <c r="B14" s="110">
        <f t="shared" si="0"/>
        <v>5</v>
      </c>
      <c r="C14" s="82" t="s">
        <v>94</v>
      </c>
      <c r="D14" s="111"/>
      <c r="E14" s="112">
        <v>0.1</v>
      </c>
      <c r="F14" s="113">
        <f>D12*E14</f>
        <v>66.2</v>
      </c>
      <c r="L14" s="158"/>
    </row>
    <row r="15" spans="2:12" ht="12.75" customHeight="1" x14ac:dyDescent="0.2">
      <c r="B15" s="110">
        <f t="shared" si="0"/>
        <v>6</v>
      </c>
      <c r="C15" s="82" t="s">
        <v>95</v>
      </c>
      <c r="D15" s="111"/>
      <c r="E15" s="112">
        <v>0.1</v>
      </c>
      <c r="F15" s="113">
        <f>D12*E15</f>
        <v>66.2</v>
      </c>
    </row>
    <row r="16" spans="2:12" ht="12.75" customHeight="1" x14ac:dyDescent="0.2">
      <c r="B16" s="110">
        <f t="shared" si="0"/>
        <v>7</v>
      </c>
      <c r="C16" s="82" t="s">
        <v>96</v>
      </c>
      <c r="D16" s="111"/>
      <c r="E16" s="112">
        <v>0.15</v>
      </c>
      <c r="F16" s="113">
        <f>D12*E16</f>
        <v>99.3</v>
      </c>
    </row>
    <row r="17" spans="2:6" ht="12.75" customHeight="1" thickBot="1" x14ac:dyDescent="0.25">
      <c r="B17" s="114">
        <f t="shared" si="0"/>
        <v>8</v>
      </c>
      <c r="C17" s="115" t="s">
        <v>97</v>
      </c>
      <c r="D17" s="116"/>
      <c r="E17" s="117">
        <v>0.05</v>
      </c>
      <c r="F17" s="118">
        <f>D12*E17</f>
        <v>33.1</v>
      </c>
    </row>
    <row r="18" spans="2:6" ht="12.75" customHeight="1" x14ac:dyDescent="0.2"/>
    <row r="19" spans="2:6" ht="12.75" customHeight="1" x14ac:dyDescent="0.2"/>
    <row r="20" spans="2:6" ht="12.75" customHeight="1" x14ac:dyDescent="0.2"/>
    <row r="21" spans="2:6" ht="12.75" customHeight="1" x14ac:dyDescent="0.2"/>
    <row r="22" spans="2:6" ht="12.75" customHeight="1" x14ac:dyDescent="0.2"/>
    <row r="23" spans="2:6" ht="12.75" customHeight="1" x14ac:dyDescent="0.2"/>
    <row r="24" spans="2:6" ht="12.75" customHeight="1" x14ac:dyDescent="0.2"/>
    <row r="25" spans="2:6" ht="12.75" customHeight="1" x14ac:dyDescent="0.2"/>
    <row r="26" spans="2:6" ht="12.75" customHeight="1" x14ac:dyDescent="0.2"/>
    <row r="27" spans="2:6" ht="12.75" customHeight="1" x14ac:dyDescent="0.2"/>
    <row r="28" spans="2:6" ht="12.75" customHeight="1" x14ac:dyDescent="0.2"/>
    <row r="29" spans="2:6" ht="12.75" customHeight="1" x14ac:dyDescent="0.2"/>
    <row r="30" spans="2:6" ht="12.75" customHeight="1" x14ac:dyDescent="0.2"/>
    <row r="31" spans="2:6" ht="12.75" customHeight="1" x14ac:dyDescent="0.2"/>
    <row r="32" spans="2:6" ht="12.75" customHeight="1" x14ac:dyDescent="0.2"/>
  </sheetData>
  <mergeCells count="1">
    <mergeCell ref="B7:F7"/>
  </mergeCells>
  <phoneticPr fontId="13" type="noConversion"/>
  <pageMargins left="0.39370078740157483" right="0.39370078740157483" top="0.39370078740157483" bottom="0.39370078740157483" header="0" footer="0"/>
  <pageSetup orientation="portrait" r:id="rId1"/>
  <headerFooter alignWithMargins="0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N35"/>
  <sheetViews>
    <sheetView view="pageLayout" zoomScaleNormal="85" workbookViewId="0">
      <selection activeCell="B13" sqref="B13"/>
    </sheetView>
  </sheetViews>
  <sheetFormatPr baseColWidth="10" defaultColWidth="11.42578125" defaultRowHeight="12.75" x14ac:dyDescent="0.2"/>
  <cols>
    <col min="1" max="1" width="4.7109375" style="90" customWidth="1"/>
    <col min="2" max="2" width="49.140625" style="82" customWidth="1"/>
    <col min="3" max="6" width="10.7109375" style="90" customWidth="1"/>
    <col min="7" max="7" width="11.42578125" style="90" customWidth="1"/>
    <col min="8" max="8" width="19.85546875" style="82" customWidth="1"/>
    <col min="9" max="9" width="61.5703125" style="82" customWidth="1"/>
    <col min="10" max="10" width="11.42578125" style="82" customWidth="1"/>
    <col min="11" max="11" width="12" style="82" customWidth="1"/>
    <col min="12" max="12" width="3.42578125" style="82" customWidth="1"/>
    <col min="13" max="16384" width="11.42578125" style="82"/>
  </cols>
  <sheetData>
    <row r="1" spans="1:14" x14ac:dyDescent="0.2">
      <c r="A1" s="119"/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20"/>
    </row>
    <row r="2" spans="1:14" x14ac:dyDescent="0.2">
      <c r="A2" s="119"/>
      <c r="B2" s="269"/>
      <c r="C2" s="270"/>
      <c r="D2" s="270"/>
      <c r="E2" s="119"/>
      <c r="F2" s="119"/>
      <c r="G2" s="119"/>
      <c r="H2" s="119"/>
      <c r="I2" s="119"/>
      <c r="J2" s="119"/>
      <c r="K2" s="119"/>
      <c r="L2" s="119"/>
      <c r="M2" s="119"/>
      <c r="N2" s="120"/>
    </row>
    <row r="3" spans="1:14" x14ac:dyDescent="0.2">
      <c r="A3" s="121"/>
      <c r="B3" s="271"/>
      <c r="C3" s="271"/>
      <c r="D3" s="271"/>
      <c r="H3" s="90"/>
      <c r="I3" s="90"/>
      <c r="J3" s="90"/>
      <c r="K3" s="90"/>
      <c r="L3" s="90"/>
      <c r="M3" s="90"/>
      <c r="N3" s="90"/>
    </row>
    <row r="4" spans="1:14" x14ac:dyDescent="0.2">
      <c r="A4" s="122"/>
      <c r="B4" s="121"/>
      <c r="C4" s="82"/>
      <c r="H4" s="90"/>
      <c r="I4" s="90"/>
      <c r="J4" s="90"/>
      <c r="K4" s="90"/>
      <c r="L4" s="90"/>
      <c r="M4" s="90"/>
      <c r="N4" s="90"/>
    </row>
    <row r="5" spans="1:14" x14ac:dyDescent="0.2">
      <c r="A5" s="121"/>
      <c r="B5" s="272" t="s">
        <v>109</v>
      </c>
      <c r="C5" s="272"/>
      <c r="D5" s="272"/>
      <c r="E5" s="123"/>
      <c r="F5" s="123"/>
      <c r="G5" s="123"/>
      <c r="H5" s="123"/>
      <c r="I5" s="268" t="s">
        <v>109</v>
      </c>
      <c r="J5" s="268"/>
      <c r="K5" s="268"/>
      <c r="L5" s="123"/>
      <c r="M5" s="90"/>
      <c r="N5" s="90"/>
    </row>
    <row r="6" spans="1:14" x14ac:dyDescent="0.2">
      <c r="A6" s="82"/>
      <c r="B6" s="121"/>
      <c r="C6" s="121"/>
      <c r="H6" s="90"/>
      <c r="I6" s="90"/>
      <c r="J6" s="90"/>
      <c r="K6" s="90"/>
      <c r="L6" s="90"/>
      <c r="M6" s="90"/>
      <c r="N6" s="124"/>
    </row>
    <row r="7" spans="1:14" x14ac:dyDescent="0.2">
      <c r="A7" s="82"/>
      <c r="B7" s="82" t="s">
        <v>110</v>
      </c>
      <c r="C7" s="121"/>
      <c r="H7" s="90"/>
      <c r="I7" s="90"/>
      <c r="J7" s="90"/>
      <c r="K7" s="90"/>
      <c r="L7" s="90"/>
      <c r="M7" s="90"/>
      <c r="N7" s="124"/>
    </row>
    <row r="8" spans="1:14" x14ac:dyDescent="0.2">
      <c r="A8" s="82"/>
      <c r="B8" s="82" t="s">
        <v>111</v>
      </c>
      <c r="C8" s="82"/>
      <c r="H8" s="90"/>
      <c r="I8" s="90"/>
      <c r="J8" s="90"/>
      <c r="K8" s="90"/>
      <c r="L8" s="90"/>
      <c r="M8" s="90"/>
      <c r="N8" s="90"/>
    </row>
    <row r="9" spans="1:14" ht="13.5" thickBot="1" x14ac:dyDescent="0.25"/>
    <row r="10" spans="1:14" x14ac:dyDescent="0.2">
      <c r="A10" s="265" t="s">
        <v>112</v>
      </c>
      <c r="B10" s="266"/>
      <c r="C10" s="266"/>
      <c r="D10" s="266"/>
      <c r="E10" s="266"/>
      <c r="F10" s="266"/>
      <c r="G10" s="267"/>
      <c r="I10" s="125" t="s">
        <v>113</v>
      </c>
    </row>
    <row r="11" spans="1:14" x14ac:dyDescent="0.2">
      <c r="A11" s="126"/>
      <c r="B11" s="127"/>
      <c r="C11" s="127"/>
      <c r="D11" s="127"/>
      <c r="E11" s="127"/>
      <c r="F11" s="127"/>
      <c r="G11" s="128">
        <f>SUM(G13:G32)</f>
        <v>0</v>
      </c>
      <c r="I11" s="129"/>
    </row>
    <row r="12" spans="1:14" x14ac:dyDescent="0.2">
      <c r="A12" s="130" t="s">
        <v>102</v>
      </c>
      <c r="B12" s="131" t="s">
        <v>4</v>
      </c>
      <c r="C12" s="132" t="s">
        <v>114</v>
      </c>
      <c r="D12" s="132" t="s">
        <v>115</v>
      </c>
      <c r="E12" s="132" t="s">
        <v>116</v>
      </c>
      <c r="F12" s="132" t="s">
        <v>117</v>
      </c>
      <c r="G12" s="133" t="s">
        <v>118</v>
      </c>
      <c r="I12" s="134" t="s">
        <v>119</v>
      </c>
    </row>
    <row r="13" spans="1:14" x14ac:dyDescent="0.2">
      <c r="A13" s="135">
        <v>1</v>
      </c>
      <c r="B13" s="92"/>
      <c r="C13" s="136"/>
      <c r="D13" s="136"/>
      <c r="E13" s="137" t="str">
        <f t="shared" ref="E13:E32" si="0">IF((C13*D13)=0,"",C13*D13)</f>
        <v/>
      </c>
      <c r="F13" s="138">
        <f>'Estimación de Esfuerzo y Tamaño'!F12</f>
        <v>662</v>
      </c>
      <c r="G13" s="139">
        <f t="shared" ref="G13:G32" si="1">IF(C13=0,,IF((E13*F13*IF(I13=0,2,1))=0,"",ROUND(E13*F13*IF(I13=0,2,1),0)))</f>
        <v>0</v>
      </c>
      <c r="I13" s="140" t="s">
        <v>120</v>
      </c>
    </row>
    <row r="14" spans="1:14" x14ac:dyDescent="0.2">
      <c r="A14" s="135">
        <f t="shared" ref="A14:A32" si="2">A13+1</f>
        <v>2</v>
      </c>
      <c r="B14" s="92"/>
      <c r="C14" s="136"/>
      <c r="D14" s="136"/>
      <c r="E14" s="137" t="str">
        <f t="shared" si="0"/>
        <v/>
      </c>
      <c r="F14" s="138">
        <f t="shared" ref="F14:F32" si="3">$F$13</f>
        <v>662</v>
      </c>
      <c r="G14" s="139">
        <f t="shared" si="1"/>
        <v>0</v>
      </c>
      <c r="I14" s="140"/>
    </row>
    <row r="15" spans="1:14" x14ac:dyDescent="0.2">
      <c r="A15" s="135">
        <f t="shared" si="2"/>
        <v>3</v>
      </c>
      <c r="B15" s="92"/>
      <c r="C15" s="136"/>
      <c r="D15" s="136"/>
      <c r="E15" s="137" t="str">
        <f t="shared" si="0"/>
        <v/>
      </c>
      <c r="F15" s="138">
        <f t="shared" si="3"/>
        <v>662</v>
      </c>
      <c r="G15" s="139">
        <f t="shared" si="1"/>
        <v>0</v>
      </c>
      <c r="I15" s="140"/>
    </row>
    <row r="16" spans="1:14" x14ac:dyDescent="0.2">
      <c r="A16" s="135">
        <f t="shared" si="2"/>
        <v>4</v>
      </c>
      <c r="B16" s="92"/>
      <c r="C16" s="136"/>
      <c r="D16" s="136"/>
      <c r="E16" s="137" t="str">
        <f t="shared" si="0"/>
        <v/>
      </c>
      <c r="F16" s="138">
        <f t="shared" si="3"/>
        <v>662</v>
      </c>
      <c r="G16" s="139">
        <f t="shared" si="1"/>
        <v>0</v>
      </c>
      <c r="I16" s="140"/>
    </row>
    <row r="17" spans="1:9" x14ac:dyDescent="0.2">
      <c r="A17" s="135">
        <f t="shared" si="2"/>
        <v>5</v>
      </c>
      <c r="B17" s="92"/>
      <c r="C17" s="136"/>
      <c r="D17" s="136"/>
      <c r="E17" s="137" t="str">
        <f t="shared" si="0"/>
        <v/>
      </c>
      <c r="F17" s="138">
        <f t="shared" si="3"/>
        <v>662</v>
      </c>
      <c r="G17" s="139">
        <f t="shared" si="1"/>
        <v>0</v>
      </c>
      <c r="I17" s="140"/>
    </row>
    <row r="18" spans="1:9" x14ac:dyDescent="0.2">
      <c r="A18" s="135">
        <f t="shared" si="2"/>
        <v>6</v>
      </c>
      <c r="B18" s="92"/>
      <c r="C18" s="136"/>
      <c r="D18" s="136"/>
      <c r="E18" s="137" t="str">
        <f t="shared" si="0"/>
        <v/>
      </c>
      <c r="F18" s="138">
        <f t="shared" si="3"/>
        <v>662</v>
      </c>
      <c r="G18" s="139">
        <f t="shared" si="1"/>
        <v>0</v>
      </c>
      <c r="I18" s="140"/>
    </row>
    <row r="19" spans="1:9" x14ac:dyDescent="0.2">
      <c r="A19" s="135">
        <f t="shared" si="2"/>
        <v>7</v>
      </c>
      <c r="B19" s="92"/>
      <c r="C19" s="136"/>
      <c r="D19" s="136"/>
      <c r="E19" s="137" t="str">
        <f t="shared" si="0"/>
        <v/>
      </c>
      <c r="F19" s="138">
        <f t="shared" si="3"/>
        <v>662</v>
      </c>
      <c r="G19" s="139">
        <f t="shared" si="1"/>
        <v>0</v>
      </c>
      <c r="I19" s="140"/>
    </row>
    <row r="20" spans="1:9" x14ac:dyDescent="0.2">
      <c r="A20" s="135">
        <f t="shared" si="2"/>
        <v>8</v>
      </c>
      <c r="B20" s="92"/>
      <c r="C20" s="136"/>
      <c r="D20" s="136"/>
      <c r="E20" s="137" t="str">
        <f t="shared" si="0"/>
        <v/>
      </c>
      <c r="F20" s="138">
        <f t="shared" si="3"/>
        <v>662</v>
      </c>
      <c r="G20" s="139">
        <f t="shared" si="1"/>
        <v>0</v>
      </c>
      <c r="I20" s="140"/>
    </row>
    <row r="21" spans="1:9" x14ac:dyDescent="0.2">
      <c r="A21" s="135">
        <f t="shared" si="2"/>
        <v>9</v>
      </c>
      <c r="B21" s="92"/>
      <c r="C21" s="136"/>
      <c r="D21" s="136"/>
      <c r="E21" s="137" t="str">
        <f t="shared" si="0"/>
        <v/>
      </c>
      <c r="F21" s="138">
        <f t="shared" si="3"/>
        <v>662</v>
      </c>
      <c r="G21" s="139">
        <f t="shared" si="1"/>
        <v>0</v>
      </c>
      <c r="I21" s="140"/>
    </row>
    <row r="22" spans="1:9" x14ac:dyDescent="0.2">
      <c r="A22" s="135">
        <f t="shared" si="2"/>
        <v>10</v>
      </c>
      <c r="B22" s="92"/>
      <c r="C22" s="136"/>
      <c r="D22" s="136"/>
      <c r="E22" s="137" t="str">
        <f t="shared" si="0"/>
        <v/>
      </c>
      <c r="F22" s="138">
        <f t="shared" si="3"/>
        <v>662</v>
      </c>
      <c r="G22" s="139">
        <f t="shared" si="1"/>
        <v>0</v>
      </c>
      <c r="I22" s="140"/>
    </row>
    <row r="23" spans="1:9" x14ac:dyDescent="0.2">
      <c r="A23" s="135">
        <f t="shared" si="2"/>
        <v>11</v>
      </c>
      <c r="B23" s="92"/>
      <c r="C23" s="136"/>
      <c r="D23" s="136"/>
      <c r="E23" s="137" t="str">
        <f t="shared" si="0"/>
        <v/>
      </c>
      <c r="F23" s="138">
        <f t="shared" si="3"/>
        <v>662</v>
      </c>
      <c r="G23" s="139">
        <f t="shared" si="1"/>
        <v>0</v>
      </c>
      <c r="I23" s="140"/>
    </row>
    <row r="24" spans="1:9" x14ac:dyDescent="0.2">
      <c r="A24" s="135">
        <f t="shared" si="2"/>
        <v>12</v>
      </c>
      <c r="B24" s="92"/>
      <c r="C24" s="136"/>
      <c r="D24" s="136"/>
      <c r="E24" s="137" t="str">
        <f t="shared" si="0"/>
        <v/>
      </c>
      <c r="F24" s="138">
        <f t="shared" si="3"/>
        <v>662</v>
      </c>
      <c r="G24" s="139">
        <f t="shared" si="1"/>
        <v>0</v>
      </c>
      <c r="I24" s="140"/>
    </row>
    <row r="25" spans="1:9" x14ac:dyDescent="0.2">
      <c r="A25" s="135">
        <f t="shared" si="2"/>
        <v>13</v>
      </c>
      <c r="B25" s="92"/>
      <c r="C25" s="136"/>
      <c r="D25" s="136"/>
      <c r="E25" s="137" t="str">
        <f t="shared" si="0"/>
        <v/>
      </c>
      <c r="F25" s="138">
        <f t="shared" si="3"/>
        <v>662</v>
      </c>
      <c r="G25" s="139">
        <f t="shared" si="1"/>
        <v>0</v>
      </c>
      <c r="I25" s="140"/>
    </row>
    <row r="26" spans="1:9" x14ac:dyDescent="0.2">
      <c r="A26" s="135">
        <f t="shared" si="2"/>
        <v>14</v>
      </c>
      <c r="B26" s="92"/>
      <c r="C26" s="136"/>
      <c r="D26" s="136"/>
      <c r="E26" s="137" t="str">
        <f t="shared" si="0"/>
        <v/>
      </c>
      <c r="F26" s="138">
        <f t="shared" si="3"/>
        <v>662</v>
      </c>
      <c r="G26" s="139">
        <f t="shared" si="1"/>
        <v>0</v>
      </c>
      <c r="I26" s="140"/>
    </row>
    <row r="27" spans="1:9" x14ac:dyDescent="0.2">
      <c r="A27" s="135">
        <f t="shared" si="2"/>
        <v>15</v>
      </c>
      <c r="B27" s="92"/>
      <c r="C27" s="136"/>
      <c r="D27" s="136"/>
      <c r="E27" s="137" t="str">
        <f t="shared" si="0"/>
        <v/>
      </c>
      <c r="F27" s="138">
        <f t="shared" si="3"/>
        <v>662</v>
      </c>
      <c r="G27" s="139">
        <f t="shared" si="1"/>
        <v>0</v>
      </c>
      <c r="I27" s="140"/>
    </row>
    <row r="28" spans="1:9" x14ac:dyDescent="0.2">
      <c r="A28" s="135">
        <f t="shared" si="2"/>
        <v>16</v>
      </c>
      <c r="B28" s="92"/>
      <c r="C28" s="136"/>
      <c r="D28" s="136"/>
      <c r="E28" s="137" t="str">
        <f t="shared" si="0"/>
        <v/>
      </c>
      <c r="F28" s="138">
        <f t="shared" si="3"/>
        <v>662</v>
      </c>
      <c r="G28" s="139">
        <f t="shared" si="1"/>
        <v>0</v>
      </c>
      <c r="I28" s="140"/>
    </row>
    <row r="29" spans="1:9" x14ac:dyDescent="0.2">
      <c r="A29" s="135">
        <f t="shared" si="2"/>
        <v>17</v>
      </c>
      <c r="B29" s="92"/>
      <c r="C29" s="136"/>
      <c r="D29" s="136"/>
      <c r="E29" s="137" t="str">
        <f t="shared" si="0"/>
        <v/>
      </c>
      <c r="F29" s="138">
        <f t="shared" si="3"/>
        <v>662</v>
      </c>
      <c r="G29" s="139">
        <f t="shared" si="1"/>
        <v>0</v>
      </c>
      <c r="I29" s="140"/>
    </row>
    <row r="30" spans="1:9" x14ac:dyDescent="0.2">
      <c r="A30" s="135">
        <f t="shared" si="2"/>
        <v>18</v>
      </c>
      <c r="B30" s="92"/>
      <c r="C30" s="136"/>
      <c r="D30" s="136"/>
      <c r="E30" s="137" t="str">
        <f t="shared" si="0"/>
        <v/>
      </c>
      <c r="F30" s="138">
        <f t="shared" si="3"/>
        <v>662</v>
      </c>
      <c r="G30" s="139">
        <f t="shared" si="1"/>
        <v>0</v>
      </c>
      <c r="I30" s="140"/>
    </row>
    <row r="31" spans="1:9" x14ac:dyDescent="0.2">
      <c r="A31" s="135">
        <f t="shared" si="2"/>
        <v>19</v>
      </c>
      <c r="B31" s="92"/>
      <c r="C31" s="136"/>
      <c r="D31" s="136"/>
      <c r="E31" s="137" t="str">
        <f t="shared" si="0"/>
        <v/>
      </c>
      <c r="F31" s="138">
        <f t="shared" si="3"/>
        <v>662</v>
      </c>
      <c r="G31" s="139">
        <f t="shared" si="1"/>
        <v>0</v>
      </c>
      <c r="I31" s="140"/>
    </row>
    <row r="32" spans="1:9" ht="13.5" thickBot="1" x14ac:dyDescent="0.25">
      <c r="A32" s="141">
        <f t="shared" si="2"/>
        <v>20</v>
      </c>
      <c r="B32" s="95"/>
      <c r="C32" s="142"/>
      <c r="D32" s="142"/>
      <c r="E32" s="143" t="str">
        <f t="shared" si="0"/>
        <v/>
      </c>
      <c r="F32" s="144">
        <f t="shared" si="3"/>
        <v>662</v>
      </c>
      <c r="G32" s="145">
        <f t="shared" si="1"/>
        <v>0</v>
      </c>
      <c r="I32" s="146"/>
    </row>
    <row r="35" spans="2:2" x14ac:dyDescent="0.2">
      <c r="B35" s="147"/>
    </row>
  </sheetData>
  <mergeCells count="5">
    <mergeCell ref="A10:G10"/>
    <mergeCell ref="I5:K5"/>
    <mergeCell ref="B2:D2"/>
    <mergeCell ref="B3:D3"/>
    <mergeCell ref="B5:D5"/>
  </mergeCells>
  <phoneticPr fontId="0" type="noConversion"/>
  <pageMargins left="0.78740157480314965" right="0.78740157480314965" top="0.39370078740157483" bottom="0.39370078740157483" header="0" footer="0"/>
  <pageSetup paperSize="9" orientation="landscape" r:id="rId1"/>
  <headerFooter alignWithMargins="0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5"/>
  <dimension ref="A2:J65"/>
  <sheetViews>
    <sheetView topLeftCell="A2" zoomScaleNormal="100" workbookViewId="0">
      <selection activeCell="K20" sqref="K20"/>
    </sheetView>
  </sheetViews>
  <sheetFormatPr baseColWidth="10" defaultColWidth="9.140625" defaultRowHeight="12.75" x14ac:dyDescent="0.2"/>
  <cols>
    <col min="1" max="1" width="3.42578125" style="159" customWidth="1"/>
    <col min="2" max="2" width="3" style="159" bestFit="1" customWidth="1"/>
    <col min="3" max="3" width="32.7109375" style="159" customWidth="1"/>
    <col min="4" max="4" width="12.140625" style="159" customWidth="1"/>
    <col min="5" max="5" width="11.7109375" style="159" customWidth="1"/>
    <col min="6" max="6" width="12.85546875" style="159" bestFit="1" customWidth="1"/>
    <col min="7" max="7" width="11.7109375" style="159" customWidth="1"/>
    <col min="8" max="8" width="13.140625" style="159" bestFit="1" customWidth="1"/>
    <col min="9" max="9" width="3.42578125" style="159" customWidth="1"/>
    <col min="10" max="10" width="9.42578125" style="159" bestFit="1" customWidth="1"/>
    <col min="11" max="16384" width="9.140625" style="159"/>
  </cols>
  <sheetData>
    <row r="2" spans="1:10" x14ac:dyDescent="0.2">
      <c r="D2" s="160"/>
      <c r="E2" s="160"/>
      <c r="F2" s="160"/>
      <c r="G2" s="160"/>
      <c r="H2" s="161"/>
    </row>
    <row r="3" spans="1:10" x14ac:dyDescent="0.2">
      <c r="G3" s="162" t="s">
        <v>87</v>
      </c>
    </row>
    <row r="5" spans="1:10" ht="15" x14ac:dyDescent="0.2">
      <c r="B5" s="163" t="s">
        <v>121</v>
      </c>
      <c r="C5" s="164"/>
      <c r="D5" s="164"/>
      <c r="E5" s="164"/>
      <c r="F5" s="164"/>
      <c r="G5" s="164"/>
      <c r="H5" s="165"/>
    </row>
    <row r="6" spans="1:10" ht="13.5" thickBot="1" x14ac:dyDescent="0.25"/>
    <row r="7" spans="1:10" x14ac:dyDescent="0.2">
      <c r="B7" s="277" t="s">
        <v>122</v>
      </c>
      <c r="C7" s="278"/>
      <c r="D7" s="278"/>
      <c r="E7" s="278"/>
      <c r="F7" s="278"/>
      <c r="G7" s="278"/>
      <c r="H7" s="279"/>
    </row>
    <row r="8" spans="1:10" x14ac:dyDescent="0.2">
      <c r="B8" s="166"/>
      <c r="C8" s="167"/>
      <c r="D8" s="168" t="s">
        <v>123</v>
      </c>
      <c r="E8" s="280" t="s">
        <v>124</v>
      </c>
      <c r="F8" s="281"/>
      <c r="G8" s="282" t="s">
        <v>125</v>
      </c>
      <c r="H8" s="283"/>
    </row>
    <row r="9" spans="1:10" x14ac:dyDescent="0.2">
      <c r="B9" s="169"/>
      <c r="C9" s="170" t="s">
        <v>126</v>
      </c>
      <c r="D9" s="171">
        <f>SUM(D11,D21,D44)</f>
        <v>1357.1</v>
      </c>
      <c r="E9" s="284">
        <f>SUM(E11,E21,E44)</f>
        <v>621038.75</v>
      </c>
      <c r="F9" s="285"/>
      <c r="G9" s="286">
        <f>SUM(G11,G21,G44)</f>
        <v>610695</v>
      </c>
      <c r="H9" s="287"/>
      <c r="J9" s="172"/>
    </row>
    <row r="10" spans="1:10" x14ac:dyDescent="0.2">
      <c r="B10" s="173"/>
      <c r="C10" s="174"/>
      <c r="D10" s="175"/>
      <c r="E10" s="275"/>
      <c r="F10" s="276"/>
      <c r="G10" s="273"/>
      <c r="H10" s="274"/>
    </row>
    <row r="11" spans="1:10" x14ac:dyDescent="0.2">
      <c r="B11" s="176"/>
      <c r="C11" s="177" t="s">
        <v>127</v>
      </c>
      <c r="D11" s="178">
        <f>SUM(D13:D20)</f>
        <v>1357.1</v>
      </c>
      <c r="E11" s="288">
        <f>SUM(F13:F20)</f>
        <v>621038.75</v>
      </c>
      <c r="F11" s="289"/>
      <c r="G11" s="288">
        <f>SUM(H13:H20)</f>
        <v>610695</v>
      </c>
      <c r="H11" s="290"/>
    </row>
    <row r="12" spans="1:10" x14ac:dyDescent="0.2">
      <c r="B12" s="166" t="s">
        <v>102</v>
      </c>
      <c r="C12" s="167" t="s">
        <v>4</v>
      </c>
      <c r="D12" s="179" t="s">
        <v>123</v>
      </c>
      <c r="E12" s="180" t="s">
        <v>128</v>
      </c>
      <c r="F12" s="181" t="s">
        <v>126</v>
      </c>
      <c r="G12" s="180" t="s">
        <v>128</v>
      </c>
      <c r="H12" s="182" t="s">
        <v>126</v>
      </c>
    </row>
    <row r="13" spans="1:10" x14ac:dyDescent="0.2">
      <c r="A13" s="183"/>
      <c r="B13" s="184">
        <v>1</v>
      </c>
      <c r="C13" s="159" t="str">
        <f>'Estimación de Esfuerzo y Tamaño'!C10</f>
        <v>Planificación</v>
      </c>
      <c r="D13" s="185">
        <f>'Estimación de Esfuerzo y Tamaño'!F10</f>
        <v>66.2</v>
      </c>
      <c r="E13" s="186">
        <v>375</v>
      </c>
      <c r="F13" s="187">
        <f t="shared" ref="F13:F20" si="0">D13*E13</f>
        <v>24825</v>
      </c>
      <c r="G13" s="188">
        <v>450</v>
      </c>
      <c r="H13" s="189">
        <f t="shared" ref="H13:H20" si="1">D13*G13</f>
        <v>29790</v>
      </c>
    </row>
    <row r="14" spans="1:10" x14ac:dyDescent="0.2">
      <c r="A14" s="190"/>
      <c r="B14" s="191">
        <f t="shared" ref="B14:B20" si="2">B13+1</f>
        <v>2</v>
      </c>
      <c r="C14" s="159" t="str">
        <f>'Estimación de Esfuerzo y Tamaño'!C11</f>
        <v>Análisis y Diseño</v>
      </c>
      <c r="D14" s="185">
        <f>'Estimación de Esfuerzo y Tamaño'!F11</f>
        <v>198.6</v>
      </c>
      <c r="E14" s="186">
        <v>250</v>
      </c>
      <c r="F14" s="187">
        <f t="shared" si="0"/>
        <v>49650</v>
      </c>
      <c r="G14" s="188">
        <v>450</v>
      </c>
      <c r="H14" s="189">
        <f t="shared" si="1"/>
        <v>89370</v>
      </c>
    </row>
    <row r="15" spans="1:10" x14ac:dyDescent="0.2">
      <c r="A15" s="192"/>
      <c r="B15" s="191">
        <f t="shared" si="2"/>
        <v>3</v>
      </c>
      <c r="C15" s="159" t="str">
        <f>'Estimación de Esfuerzo y Tamaño'!C12</f>
        <v>Desarrollo</v>
      </c>
      <c r="D15" s="185">
        <f>'Estimación de Esfuerzo y Tamaño'!F12</f>
        <v>662</v>
      </c>
      <c r="E15" s="186">
        <v>625</v>
      </c>
      <c r="F15" s="187">
        <f t="shared" si="0"/>
        <v>413750</v>
      </c>
      <c r="G15" s="188">
        <v>450</v>
      </c>
      <c r="H15" s="189">
        <f t="shared" si="1"/>
        <v>297900</v>
      </c>
    </row>
    <row r="16" spans="1:10" x14ac:dyDescent="0.2">
      <c r="A16" s="193"/>
      <c r="B16" s="191">
        <f t="shared" si="2"/>
        <v>4</v>
      </c>
      <c r="C16" s="159" t="str">
        <f>'Estimación de Esfuerzo y Tamaño'!C13</f>
        <v>Prueba</v>
      </c>
      <c r="D16" s="185">
        <f>'Estimación de Esfuerzo y Tamaño'!F13</f>
        <v>165.5</v>
      </c>
      <c r="E16" s="186">
        <v>312.5</v>
      </c>
      <c r="F16" s="187">
        <f t="shared" si="0"/>
        <v>51718.75</v>
      </c>
      <c r="G16" s="188">
        <v>450</v>
      </c>
      <c r="H16" s="189">
        <f t="shared" si="1"/>
        <v>74475</v>
      </c>
    </row>
    <row r="17" spans="1:8" x14ac:dyDescent="0.2">
      <c r="A17" s="194"/>
      <c r="B17" s="191">
        <f t="shared" si="2"/>
        <v>5</v>
      </c>
      <c r="C17" s="159" t="str">
        <f>'Estimación de Esfuerzo y Tamaño'!C14</f>
        <v>Despliegue</v>
      </c>
      <c r="D17" s="185">
        <f>'Estimación de Esfuerzo y Tamaño'!F14</f>
        <v>66.2</v>
      </c>
      <c r="E17" s="186">
        <v>100</v>
      </c>
      <c r="F17" s="187">
        <f t="shared" si="0"/>
        <v>6620</v>
      </c>
      <c r="G17" s="188">
        <v>450</v>
      </c>
      <c r="H17" s="189">
        <f t="shared" si="1"/>
        <v>29790</v>
      </c>
    </row>
    <row r="18" spans="1:8" x14ac:dyDescent="0.2">
      <c r="A18" s="195"/>
      <c r="B18" s="191">
        <f t="shared" si="2"/>
        <v>6</v>
      </c>
      <c r="C18" s="159" t="str">
        <f>'Estimación de Esfuerzo y Tamaño'!C15</f>
        <v>Administración de la Configuración</v>
      </c>
      <c r="D18" s="185">
        <f>'Estimación de Esfuerzo y Tamaño'!F15</f>
        <v>66.2</v>
      </c>
      <c r="E18" s="186">
        <v>250</v>
      </c>
      <c r="F18" s="187">
        <f t="shared" si="0"/>
        <v>16550</v>
      </c>
      <c r="G18" s="188">
        <v>450</v>
      </c>
      <c r="H18" s="189">
        <f t="shared" si="1"/>
        <v>29790</v>
      </c>
    </row>
    <row r="19" spans="1:8" x14ac:dyDescent="0.2">
      <c r="A19" s="196"/>
      <c r="B19" s="191">
        <f t="shared" si="2"/>
        <v>7</v>
      </c>
      <c r="C19" s="159" t="str">
        <f>'Estimación de Esfuerzo y Tamaño'!C16</f>
        <v>Seguimiento y Supervisión</v>
      </c>
      <c r="D19" s="185">
        <f>'Estimación de Esfuerzo y Tamaño'!F16</f>
        <v>99.3</v>
      </c>
      <c r="E19" s="186">
        <v>375</v>
      </c>
      <c r="F19" s="187">
        <f t="shared" si="0"/>
        <v>37237.5</v>
      </c>
      <c r="G19" s="188">
        <v>450</v>
      </c>
      <c r="H19" s="189">
        <f t="shared" si="1"/>
        <v>44685</v>
      </c>
    </row>
    <row r="20" spans="1:8" ht="13.5" thickBot="1" x14ac:dyDescent="0.25">
      <c r="A20" s="197"/>
      <c r="B20" s="198">
        <f t="shared" si="2"/>
        <v>8</v>
      </c>
      <c r="C20" s="199" t="str">
        <f>'Estimación de Esfuerzo y Tamaño'!C17</f>
        <v>Horas de Investigación</v>
      </c>
      <c r="D20" s="200">
        <f>'Estimación de Esfuerzo y Tamaño'!F17</f>
        <v>33.1</v>
      </c>
      <c r="E20" s="201">
        <v>625</v>
      </c>
      <c r="F20" s="202">
        <f t="shared" si="0"/>
        <v>20687.5</v>
      </c>
      <c r="G20" s="188">
        <v>450</v>
      </c>
      <c r="H20" s="203">
        <f t="shared" si="1"/>
        <v>14895</v>
      </c>
    </row>
    <row r="21" spans="1:8" x14ac:dyDescent="0.2">
      <c r="B21" s="204"/>
      <c r="C21" s="205" t="s">
        <v>129</v>
      </c>
      <c r="D21" s="206">
        <f>SUM(D23:D43)</f>
        <v>0</v>
      </c>
      <c r="E21" s="294">
        <f>SUM(F23:F43)</f>
        <v>0</v>
      </c>
      <c r="F21" s="295"/>
      <c r="G21" s="294">
        <f>SUM(H23:H43)</f>
        <v>0</v>
      </c>
      <c r="H21" s="296"/>
    </row>
    <row r="22" spans="1:8" x14ac:dyDescent="0.2">
      <c r="B22" s="207" t="s">
        <v>102</v>
      </c>
      <c r="C22" s="167" t="s">
        <v>4</v>
      </c>
      <c r="D22" s="179" t="s">
        <v>123</v>
      </c>
      <c r="E22" s="180" t="s">
        <v>130</v>
      </c>
      <c r="F22" s="181" t="s">
        <v>126</v>
      </c>
      <c r="G22" s="180" t="s">
        <v>130</v>
      </c>
      <c r="H22" s="182" t="s">
        <v>126</v>
      </c>
    </row>
    <row r="23" spans="1:8" x14ac:dyDescent="0.2">
      <c r="B23" s="208">
        <v>1</v>
      </c>
      <c r="C23" s="209" t="s">
        <v>149</v>
      </c>
      <c r="D23" s="210"/>
      <c r="E23" s="211">
        <v>15</v>
      </c>
      <c r="F23" s="212">
        <f t="shared" ref="F23:F43" si="3">D23*E23</f>
        <v>0</v>
      </c>
      <c r="G23" s="213">
        <v>450</v>
      </c>
      <c r="H23" s="214">
        <f t="shared" ref="H23:H43" si="4">D23*G23</f>
        <v>0</v>
      </c>
    </row>
    <row r="24" spans="1:8" x14ac:dyDescent="0.2">
      <c r="B24" s="215">
        <v>2</v>
      </c>
      <c r="C24" s="216" t="s">
        <v>150</v>
      </c>
      <c r="D24" s="217"/>
      <c r="E24" s="218">
        <v>0</v>
      </c>
      <c r="F24" s="187">
        <f t="shared" si="3"/>
        <v>0</v>
      </c>
      <c r="G24" s="219">
        <v>0</v>
      </c>
      <c r="H24" s="189">
        <f t="shared" si="4"/>
        <v>0</v>
      </c>
    </row>
    <row r="25" spans="1:8" x14ac:dyDescent="0.2">
      <c r="B25" s="215">
        <v>3</v>
      </c>
      <c r="C25" s="216" t="s">
        <v>151</v>
      </c>
      <c r="D25" s="217"/>
      <c r="E25" s="218">
        <v>0</v>
      </c>
      <c r="F25" s="187">
        <f t="shared" si="3"/>
        <v>0</v>
      </c>
      <c r="G25" s="219">
        <v>0</v>
      </c>
      <c r="H25" s="189">
        <f t="shared" si="4"/>
        <v>0</v>
      </c>
    </row>
    <row r="26" spans="1:8" x14ac:dyDescent="0.2">
      <c r="B26" s="215">
        <v>4</v>
      </c>
      <c r="C26" s="216" t="s">
        <v>152</v>
      </c>
      <c r="D26" s="217"/>
      <c r="E26" s="218">
        <v>0</v>
      </c>
      <c r="F26" s="187">
        <f t="shared" si="3"/>
        <v>0</v>
      </c>
      <c r="G26" s="219">
        <v>0</v>
      </c>
      <c r="H26" s="189">
        <f t="shared" si="4"/>
        <v>0</v>
      </c>
    </row>
    <row r="27" spans="1:8" x14ac:dyDescent="0.2">
      <c r="B27" s="215">
        <v>5</v>
      </c>
      <c r="C27" s="216" t="s">
        <v>153</v>
      </c>
      <c r="D27" s="217"/>
      <c r="E27" s="218">
        <v>0</v>
      </c>
      <c r="F27" s="187">
        <f t="shared" si="3"/>
        <v>0</v>
      </c>
      <c r="G27" s="219">
        <v>0</v>
      </c>
      <c r="H27" s="189">
        <f t="shared" si="4"/>
        <v>0</v>
      </c>
    </row>
    <row r="28" spans="1:8" x14ac:dyDescent="0.2">
      <c r="B28" s="215">
        <v>6</v>
      </c>
      <c r="C28" s="216" t="s">
        <v>154</v>
      </c>
      <c r="D28" s="217"/>
      <c r="E28" s="218">
        <v>0</v>
      </c>
      <c r="F28" s="187">
        <f t="shared" si="3"/>
        <v>0</v>
      </c>
      <c r="G28" s="219">
        <v>0</v>
      </c>
      <c r="H28" s="189">
        <f t="shared" si="4"/>
        <v>0</v>
      </c>
    </row>
    <row r="29" spans="1:8" x14ac:dyDescent="0.2">
      <c r="B29" s="215">
        <v>7</v>
      </c>
      <c r="C29" s="220"/>
      <c r="D29" s="217"/>
      <c r="E29" s="218">
        <v>0</v>
      </c>
      <c r="F29" s="187">
        <f t="shared" si="3"/>
        <v>0</v>
      </c>
      <c r="G29" s="219">
        <v>0</v>
      </c>
      <c r="H29" s="189">
        <f t="shared" si="4"/>
        <v>0</v>
      </c>
    </row>
    <row r="30" spans="1:8" x14ac:dyDescent="0.2">
      <c r="B30" s="215">
        <v>8</v>
      </c>
      <c r="C30" s="216"/>
      <c r="D30" s="217"/>
      <c r="E30" s="218">
        <v>0</v>
      </c>
      <c r="F30" s="187">
        <f t="shared" si="3"/>
        <v>0</v>
      </c>
      <c r="G30" s="219">
        <v>0</v>
      </c>
      <c r="H30" s="189">
        <f t="shared" si="4"/>
        <v>0</v>
      </c>
    </row>
    <row r="31" spans="1:8" x14ac:dyDescent="0.2">
      <c r="B31" s="215">
        <v>9</v>
      </c>
      <c r="C31" s="216"/>
      <c r="D31" s="217"/>
      <c r="E31" s="218">
        <v>0</v>
      </c>
      <c r="F31" s="187">
        <f t="shared" si="3"/>
        <v>0</v>
      </c>
      <c r="G31" s="219">
        <v>0</v>
      </c>
      <c r="H31" s="189">
        <f t="shared" si="4"/>
        <v>0</v>
      </c>
    </row>
    <row r="32" spans="1:8" x14ac:dyDescent="0.2">
      <c r="B32" s="215">
        <v>10</v>
      </c>
      <c r="C32" s="216"/>
      <c r="D32" s="217"/>
      <c r="E32" s="218">
        <v>0</v>
      </c>
      <c r="F32" s="187">
        <f t="shared" si="3"/>
        <v>0</v>
      </c>
      <c r="G32" s="219">
        <v>0</v>
      </c>
      <c r="H32" s="189">
        <f t="shared" si="4"/>
        <v>0</v>
      </c>
    </row>
    <row r="33" spans="2:8" x14ac:dyDescent="0.2">
      <c r="B33" s="215">
        <v>11</v>
      </c>
      <c r="C33" s="216"/>
      <c r="D33" s="217"/>
      <c r="E33" s="218">
        <v>0</v>
      </c>
      <c r="F33" s="187">
        <f t="shared" si="3"/>
        <v>0</v>
      </c>
      <c r="G33" s="219">
        <v>0</v>
      </c>
      <c r="H33" s="189">
        <f t="shared" si="4"/>
        <v>0</v>
      </c>
    </row>
    <row r="34" spans="2:8" x14ac:dyDescent="0.2">
      <c r="B34" s="215">
        <v>12</v>
      </c>
      <c r="C34" s="216"/>
      <c r="D34" s="217"/>
      <c r="E34" s="218">
        <v>0</v>
      </c>
      <c r="F34" s="187">
        <f t="shared" si="3"/>
        <v>0</v>
      </c>
      <c r="G34" s="219">
        <v>0</v>
      </c>
      <c r="H34" s="189">
        <f t="shared" si="4"/>
        <v>0</v>
      </c>
    </row>
    <row r="35" spans="2:8" x14ac:dyDescent="0.2">
      <c r="B35" s="215">
        <v>13</v>
      </c>
      <c r="C35" s="216"/>
      <c r="D35" s="217"/>
      <c r="E35" s="218">
        <v>0</v>
      </c>
      <c r="F35" s="187">
        <f t="shared" si="3"/>
        <v>0</v>
      </c>
      <c r="G35" s="219">
        <v>0</v>
      </c>
      <c r="H35" s="189">
        <f t="shared" si="4"/>
        <v>0</v>
      </c>
    </row>
    <row r="36" spans="2:8" x14ac:dyDescent="0.2">
      <c r="B36" s="215">
        <v>14</v>
      </c>
      <c r="C36" s="216"/>
      <c r="D36" s="217"/>
      <c r="E36" s="218">
        <v>0</v>
      </c>
      <c r="F36" s="187">
        <f t="shared" si="3"/>
        <v>0</v>
      </c>
      <c r="G36" s="219">
        <v>0</v>
      </c>
      <c r="H36" s="189">
        <f t="shared" si="4"/>
        <v>0</v>
      </c>
    </row>
    <row r="37" spans="2:8" x14ac:dyDescent="0.2">
      <c r="B37" s="215">
        <v>15</v>
      </c>
      <c r="C37" s="216"/>
      <c r="D37" s="217"/>
      <c r="E37" s="218">
        <v>0</v>
      </c>
      <c r="F37" s="187">
        <f t="shared" si="3"/>
        <v>0</v>
      </c>
      <c r="G37" s="219">
        <v>0</v>
      </c>
      <c r="H37" s="189">
        <f t="shared" si="4"/>
        <v>0</v>
      </c>
    </row>
    <row r="38" spans="2:8" x14ac:dyDescent="0.2">
      <c r="B38" s="215">
        <v>16</v>
      </c>
      <c r="C38" s="216"/>
      <c r="D38" s="217"/>
      <c r="E38" s="218">
        <v>0</v>
      </c>
      <c r="F38" s="187">
        <f t="shared" si="3"/>
        <v>0</v>
      </c>
      <c r="G38" s="219">
        <v>0</v>
      </c>
      <c r="H38" s="189">
        <f t="shared" si="4"/>
        <v>0</v>
      </c>
    </row>
    <row r="39" spans="2:8" x14ac:dyDescent="0.2">
      <c r="B39" s="215">
        <v>17</v>
      </c>
      <c r="C39" s="216"/>
      <c r="D39" s="217"/>
      <c r="E39" s="218">
        <v>0</v>
      </c>
      <c r="F39" s="187">
        <f t="shared" si="3"/>
        <v>0</v>
      </c>
      <c r="G39" s="219">
        <v>0</v>
      </c>
      <c r="H39" s="189">
        <f t="shared" si="4"/>
        <v>0</v>
      </c>
    </row>
    <row r="40" spans="2:8" x14ac:dyDescent="0.2">
      <c r="B40" s="215">
        <v>18</v>
      </c>
      <c r="C40" s="216"/>
      <c r="D40" s="217"/>
      <c r="E40" s="218">
        <v>0</v>
      </c>
      <c r="F40" s="187">
        <f t="shared" si="3"/>
        <v>0</v>
      </c>
      <c r="G40" s="219">
        <v>0</v>
      </c>
      <c r="H40" s="189">
        <f t="shared" si="4"/>
        <v>0</v>
      </c>
    </row>
    <row r="41" spans="2:8" x14ac:dyDescent="0.2">
      <c r="B41" s="215">
        <v>19</v>
      </c>
      <c r="C41" s="216"/>
      <c r="D41" s="217"/>
      <c r="E41" s="218">
        <v>0</v>
      </c>
      <c r="F41" s="187">
        <f t="shared" si="3"/>
        <v>0</v>
      </c>
      <c r="G41" s="219">
        <v>0</v>
      </c>
      <c r="H41" s="189">
        <f t="shared" si="4"/>
        <v>0</v>
      </c>
    </row>
    <row r="42" spans="2:8" x14ac:dyDescent="0.2">
      <c r="B42" s="215">
        <v>20</v>
      </c>
      <c r="C42" s="216"/>
      <c r="D42" s="217"/>
      <c r="E42" s="218">
        <v>0</v>
      </c>
      <c r="F42" s="187">
        <f t="shared" si="3"/>
        <v>0</v>
      </c>
      <c r="G42" s="219">
        <v>0</v>
      </c>
      <c r="H42" s="189">
        <f t="shared" si="4"/>
        <v>0</v>
      </c>
    </row>
    <row r="43" spans="2:8" ht="13.5" thickBot="1" x14ac:dyDescent="0.25">
      <c r="B43" s="215">
        <v>21</v>
      </c>
      <c r="C43" s="216"/>
      <c r="D43" s="217"/>
      <c r="E43" s="218">
        <v>0</v>
      </c>
      <c r="F43" s="187">
        <f t="shared" si="3"/>
        <v>0</v>
      </c>
      <c r="G43" s="219">
        <v>0</v>
      </c>
      <c r="H43" s="189">
        <f t="shared" si="4"/>
        <v>0</v>
      </c>
    </row>
    <row r="44" spans="2:8" x14ac:dyDescent="0.2">
      <c r="B44" s="221"/>
      <c r="C44" s="222" t="s">
        <v>112</v>
      </c>
      <c r="D44" s="223">
        <f>SUM(D46:D65)</f>
        <v>0</v>
      </c>
      <c r="E44" s="291">
        <f>SUM(F46:F65)</f>
        <v>0</v>
      </c>
      <c r="F44" s="292"/>
      <c r="G44" s="291">
        <f>SUM(H46:H65)</f>
        <v>0</v>
      </c>
      <c r="H44" s="293"/>
    </row>
    <row r="45" spans="2:8" x14ac:dyDescent="0.2">
      <c r="B45" s="224" t="s">
        <v>131</v>
      </c>
      <c r="C45" s="225" t="s">
        <v>4</v>
      </c>
      <c r="D45" s="226" t="s">
        <v>123</v>
      </c>
      <c r="E45" s="227" t="s">
        <v>130</v>
      </c>
      <c r="F45" s="228" t="s">
        <v>126</v>
      </c>
      <c r="G45" s="227" t="s">
        <v>130</v>
      </c>
      <c r="H45" s="229" t="s">
        <v>126</v>
      </c>
    </row>
    <row r="46" spans="2:8" x14ac:dyDescent="0.2">
      <c r="B46" s="191">
        <v>1</v>
      </c>
      <c r="C46" s="230">
        <f>Riesgos!B13</f>
        <v>0</v>
      </c>
      <c r="D46" s="231">
        <f>Riesgos!G13</f>
        <v>0</v>
      </c>
      <c r="E46" s="188">
        <v>94</v>
      </c>
      <c r="F46" s="232">
        <f t="shared" ref="F46:F65" si="5">D46*E46</f>
        <v>0</v>
      </c>
      <c r="G46" s="188">
        <v>94</v>
      </c>
      <c r="H46" s="189">
        <f t="shared" ref="H46:H65" si="6">D46*G46</f>
        <v>0</v>
      </c>
    </row>
    <row r="47" spans="2:8" x14ac:dyDescent="0.2">
      <c r="B47" s="191">
        <f t="shared" ref="B47:B65" si="7">B46+1</f>
        <v>2</v>
      </c>
      <c r="C47" s="230">
        <f>Riesgos!B14</f>
        <v>0</v>
      </c>
      <c r="D47" s="231">
        <f>Riesgos!G14</f>
        <v>0</v>
      </c>
      <c r="E47" s="188"/>
      <c r="F47" s="232">
        <f t="shared" si="5"/>
        <v>0</v>
      </c>
      <c r="G47" s="188"/>
      <c r="H47" s="189">
        <f t="shared" si="6"/>
        <v>0</v>
      </c>
    </row>
    <row r="48" spans="2:8" x14ac:dyDescent="0.2">
      <c r="B48" s="191">
        <f t="shared" si="7"/>
        <v>3</v>
      </c>
      <c r="C48" s="230">
        <f>Riesgos!B15</f>
        <v>0</v>
      </c>
      <c r="D48" s="231">
        <f>Riesgos!G15</f>
        <v>0</v>
      </c>
      <c r="E48" s="188"/>
      <c r="F48" s="232">
        <f t="shared" si="5"/>
        <v>0</v>
      </c>
      <c r="G48" s="188"/>
      <c r="H48" s="189">
        <f t="shared" si="6"/>
        <v>0</v>
      </c>
    </row>
    <row r="49" spans="2:8" x14ac:dyDescent="0.2">
      <c r="B49" s="191">
        <f t="shared" si="7"/>
        <v>4</v>
      </c>
      <c r="C49" s="230">
        <f>Riesgos!B16</f>
        <v>0</v>
      </c>
      <c r="D49" s="231">
        <f>Riesgos!G16</f>
        <v>0</v>
      </c>
      <c r="E49" s="188"/>
      <c r="F49" s="232">
        <f t="shared" si="5"/>
        <v>0</v>
      </c>
      <c r="G49" s="188"/>
      <c r="H49" s="189">
        <f t="shared" si="6"/>
        <v>0</v>
      </c>
    </row>
    <row r="50" spans="2:8" x14ac:dyDescent="0.2">
      <c r="B50" s="191">
        <f t="shared" si="7"/>
        <v>5</v>
      </c>
      <c r="C50" s="230">
        <f>Riesgos!B17</f>
        <v>0</v>
      </c>
      <c r="D50" s="231">
        <f>Riesgos!G17</f>
        <v>0</v>
      </c>
      <c r="E50" s="188"/>
      <c r="F50" s="232">
        <f t="shared" si="5"/>
        <v>0</v>
      </c>
      <c r="G50" s="188"/>
      <c r="H50" s="189">
        <f t="shared" si="6"/>
        <v>0</v>
      </c>
    </row>
    <row r="51" spans="2:8" x14ac:dyDescent="0.2">
      <c r="B51" s="191">
        <f t="shared" si="7"/>
        <v>6</v>
      </c>
      <c r="C51" s="230">
        <f>Riesgos!B18</f>
        <v>0</v>
      </c>
      <c r="D51" s="231">
        <f>Riesgos!G18</f>
        <v>0</v>
      </c>
      <c r="E51" s="188"/>
      <c r="F51" s="232">
        <f t="shared" si="5"/>
        <v>0</v>
      </c>
      <c r="G51" s="188"/>
      <c r="H51" s="189">
        <f t="shared" si="6"/>
        <v>0</v>
      </c>
    </row>
    <row r="52" spans="2:8" x14ac:dyDescent="0.2">
      <c r="B52" s="191">
        <f t="shared" si="7"/>
        <v>7</v>
      </c>
      <c r="C52" s="230">
        <f>Riesgos!B19</f>
        <v>0</v>
      </c>
      <c r="D52" s="231">
        <f>Riesgos!G19</f>
        <v>0</v>
      </c>
      <c r="E52" s="188"/>
      <c r="F52" s="232">
        <f t="shared" si="5"/>
        <v>0</v>
      </c>
      <c r="G52" s="188"/>
      <c r="H52" s="189">
        <f t="shared" si="6"/>
        <v>0</v>
      </c>
    </row>
    <row r="53" spans="2:8" x14ac:dyDescent="0.2">
      <c r="B53" s="191">
        <f t="shared" si="7"/>
        <v>8</v>
      </c>
      <c r="C53" s="230">
        <f>Riesgos!B20</f>
        <v>0</v>
      </c>
      <c r="D53" s="231">
        <f>Riesgos!G20</f>
        <v>0</v>
      </c>
      <c r="E53" s="188"/>
      <c r="F53" s="232">
        <f t="shared" si="5"/>
        <v>0</v>
      </c>
      <c r="G53" s="188"/>
      <c r="H53" s="189">
        <f t="shared" si="6"/>
        <v>0</v>
      </c>
    </row>
    <row r="54" spans="2:8" x14ac:dyDescent="0.2">
      <c r="B54" s="191">
        <f t="shared" si="7"/>
        <v>9</v>
      </c>
      <c r="C54" s="230">
        <f>Riesgos!B21</f>
        <v>0</v>
      </c>
      <c r="D54" s="231">
        <f>Riesgos!G21</f>
        <v>0</v>
      </c>
      <c r="E54" s="188"/>
      <c r="F54" s="232">
        <f t="shared" si="5"/>
        <v>0</v>
      </c>
      <c r="G54" s="188"/>
      <c r="H54" s="189">
        <f t="shared" si="6"/>
        <v>0</v>
      </c>
    </row>
    <row r="55" spans="2:8" x14ac:dyDescent="0.2">
      <c r="B55" s="191">
        <f t="shared" si="7"/>
        <v>10</v>
      </c>
      <c r="C55" s="230">
        <f>Riesgos!B22</f>
        <v>0</v>
      </c>
      <c r="D55" s="231">
        <f>Riesgos!G22</f>
        <v>0</v>
      </c>
      <c r="E55" s="188"/>
      <c r="F55" s="232">
        <f t="shared" si="5"/>
        <v>0</v>
      </c>
      <c r="G55" s="188"/>
      <c r="H55" s="189">
        <f t="shared" si="6"/>
        <v>0</v>
      </c>
    </row>
    <row r="56" spans="2:8" x14ac:dyDescent="0.2">
      <c r="B56" s="191">
        <f t="shared" si="7"/>
        <v>11</v>
      </c>
      <c r="C56" s="230">
        <f>Riesgos!B23</f>
        <v>0</v>
      </c>
      <c r="D56" s="231">
        <f>Riesgos!G23</f>
        <v>0</v>
      </c>
      <c r="E56" s="188"/>
      <c r="F56" s="232">
        <f t="shared" si="5"/>
        <v>0</v>
      </c>
      <c r="G56" s="188"/>
      <c r="H56" s="189">
        <f t="shared" si="6"/>
        <v>0</v>
      </c>
    </row>
    <row r="57" spans="2:8" x14ac:dyDescent="0.2">
      <c r="B57" s="191">
        <f t="shared" si="7"/>
        <v>12</v>
      </c>
      <c r="C57" s="230">
        <f>Riesgos!B24</f>
        <v>0</v>
      </c>
      <c r="D57" s="231">
        <f>Riesgos!G24</f>
        <v>0</v>
      </c>
      <c r="E57" s="188"/>
      <c r="F57" s="232">
        <f t="shared" si="5"/>
        <v>0</v>
      </c>
      <c r="G57" s="188"/>
      <c r="H57" s="189">
        <f t="shared" si="6"/>
        <v>0</v>
      </c>
    </row>
    <row r="58" spans="2:8" x14ac:dyDescent="0.2">
      <c r="B58" s="191">
        <f t="shared" si="7"/>
        <v>13</v>
      </c>
      <c r="C58" s="230">
        <f>Riesgos!B25</f>
        <v>0</v>
      </c>
      <c r="D58" s="231">
        <f>Riesgos!G25</f>
        <v>0</v>
      </c>
      <c r="E58" s="188"/>
      <c r="F58" s="232">
        <f t="shared" si="5"/>
        <v>0</v>
      </c>
      <c r="G58" s="188"/>
      <c r="H58" s="189">
        <f t="shared" si="6"/>
        <v>0</v>
      </c>
    </row>
    <row r="59" spans="2:8" x14ac:dyDescent="0.2">
      <c r="B59" s="191">
        <f t="shared" si="7"/>
        <v>14</v>
      </c>
      <c r="C59" s="230">
        <f>Riesgos!B26</f>
        <v>0</v>
      </c>
      <c r="D59" s="231">
        <f>Riesgos!G26</f>
        <v>0</v>
      </c>
      <c r="E59" s="188"/>
      <c r="F59" s="232">
        <f t="shared" si="5"/>
        <v>0</v>
      </c>
      <c r="G59" s="188"/>
      <c r="H59" s="189">
        <f t="shared" si="6"/>
        <v>0</v>
      </c>
    </row>
    <row r="60" spans="2:8" x14ac:dyDescent="0.2">
      <c r="B60" s="191">
        <f t="shared" si="7"/>
        <v>15</v>
      </c>
      <c r="C60" s="230">
        <f>Riesgos!B27</f>
        <v>0</v>
      </c>
      <c r="D60" s="231">
        <f>Riesgos!G27</f>
        <v>0</v>
      </c>
      <c r="E60" s="188"/>
      <c r="F60" s="232">
        <f t="shared" si="5"/>
        <v>0</v>
      </c>
      <c r="G60" s="188"/>
      <c r="H60" s="189">
        <f t="shared" si="6"/>
        <v>0</v>
      </c>
    </row>
    <row r="61" spans="2:8" x14ac:dyDescent="0.2">
      <c r="B61" s="191">
        <f t="shared" si="7"/>
        <v>16</v>
      </c>
      <c r="C61" s="230">
        <f>Riesgos!B28</f>
        <v>0</v>
      </c>
      <c r="D61" s="231">
        <f>Riesgos!G28</f>
        <v>0</v>
      </c>
      <c r="E61" s="188"/>
      <c r="F61" s="232">
        <f t="shared" si="5"/>
        <v>0</v>
      </c>
      <c r="G61" s="188"/>
      <c r="H61" s="189">
        <f t="shared" si="6"/>
        <v>0</v>
      </c>
    </row>
    <row r="62" spans="2:8" x14ac:dyDescent="0.2">
      <c r="B62" s="191">
        <f t="shared" si="7"/>
        <v>17</v>
      </c>
      <c r="C62" s="230">
        <f>Riesgos!B29</f>
        <v>0</v>
      </c>
      <c r="D62" s="231">
        <f>Riesgos!G29</f>
        <v>0</v>
      </c>
      <c r="E62" s="188"/>
      <c r="F62" s="232">
        <f t="shared" si="5"/>
        <v>0</v>
      </c>
      <c r="G62" s="188"/>
      <c r="H62" s="189">
        <f t="shared" si="6"/>
        <v>0</v>
      </c>
    </row>
    <row r="63" spans="2:8" x14ac:dyDescent="0.2">
      <c r="B63" s="191">
        <f t="shared" si="7"/>
        <v>18</v>
      </c>
      <c r="C63" s="230">
        <f>Riesgos!B30</f>
        <v>0</v>
      </c>
      <c r="D63" s="231">
        <f>Riesgos!G30</f>
        <v>0</v>
      </c>
      <c r="E63" s="188"/>
      <c r="F63" s="232">
        <f t="shared" si="5"/>
        <v>0</v>
      </c>
      <c r="G63" s="188"/>
      <c r="H63" s="189">
        <f t="shared" si="6"/>
        <v>0</v>
      </c>
    </row>
    <row r="64" spans="2:8" x14ac:dyDescent="0.2">
      <c r="B64" s="191">
        <f t="shared" si="7"/>
        <v>19</v>
      </c>
      <c r="C64" s="230">
        <f>Riesgos!B31</f>
        <v>0</v>
      </c>
      <c r="D64" s="231">
        <f>Riesgos!G31</f>
        <v>0</v>
      </c>
      <c r="E64" s="188"/>
      <c r="F64" s="232">
        <f t="shared" si="5"/>
        <v>0</v>
      </c>
      <c r="G64" s="188"/>
      <c r="H64" s="189">
        <f t="shared" si="6"/>
        <v>0</v>
      </c>
    </row>
    <row r="65" spans="2:8" ht="13.5" thickBot="1" x14ac:dyDescent="0.25">
      <c r="B65" s="233">
        <f t="shared" si="7"/>
        <v>20</v>
      </c>
      <c r="C65" s="234">
        <f>Riesgos!B32</f>
        <v>0</v>
      </c>
      <c r="D65" s="235">
        <f>Riesgos!G32</f>
        <v>0</v>
      </c>
      <c r="E65" s="236"/>
      <c r="F65" s="237">
        <f t="shared" si="5"/>
        <v>0</v>
      </c>
      <c r="G65" s="236"/>
      <c r="H65" s="203">
        <f t="shared" si="6"/>
        <v>0</v>
      </c>
    </row>
  </sheetData>
  <mergeCells count="13">
    <mergeCell ref="E11:F11"/>
    <mergeCell ref="G11:H11"/>
    <mergeCell ref="E44:F44"/>
    <mergeCell ref="G44:H44"/>
    <mergeCell ref="E21:F21"/>
    <mergeCell ref="G21:H21"/>
    <mergeCell ref="G10:H10"/>
    <mergeCell ref="E10:F10"/>
    <mergeCell ref="B7:H7"/>
    <mergeCell ref="E8:F8"/>
    <mergeCell ref="G8:H8"/>
    <mergeCell ref="E9:F9"/>
    <mergeCell ref="G9:H9"/>
  </mergeCells>
  <phoneticPr fontId="13" type="noConversion"/>
  <pageMargins left="0.39370078740157483" right="0.39370078740157483" top="0.39370078740157483" bottom="0.39370078740157483" header="0" footer="0"/>
  <pageSetup orientation="portrait" r:id="rId1"/>
  <headerFooter alignWithMargins="0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J7"/>
  <sheetViews>
    <sheetView zoomScale="85" workbookViewId="0">
      <selection activeCell="A8" sqref="A8"/>
    </sheetView>
  </sheetViews>
  <sheetFormatPr baseColWidth="10" defaultColWidth="9.140625" defaultRowHeight="12.75" x14ac:dyDescent="0.2"/>
  <cols>
    <col min="1" max="1" width="9.140625" customWidth="1"/>
    <col min="2" max="2" width="35.7109375" customWidth="1"/>
    <col min="3" max="10" width="15.5703125" customWidth="1"/>
  </cols>
  <sheetData>
    <row r="2" spans="2:10" x14ac:dyDescent="0.2">
      <c r="C2" s="297" t="s">
        <v>105</v>
      </c>
      <c r="D2" s="297"/>
      <c r="E2" s="297"/>
      <c r="F2" s="297"/>
      <c r="G2" s="297"/>
      <c r="H2" s="297"/>
      <c r="I2" s="297"/>
      <c r="J2" s="297"/>
    </row>
    <row r="3" spans="2:10" ht="38.25" x14ac:dyDescent="0.2">
      <c r="B3" s="149" t="s">
        <v>59</v>
      </c>
      <c r="C3" s="150" t="s">
        <v>92</v>
      </c>
      <c r="D3" s="150" t="s">
        <v>107</v>
      </c>
      <c r="E3" s="150" t="s">
        <v>108</v>
      </c>
      <c r="F3" s="150" t="s">
        <v>93</v>
      </c>
      <c r="G3" s="150" t="s">
        <v>94</v>
      </c>
      <c r="H3" s="150" t="s">
        <v>95</v>
      </c>
      <c r="I3" s="150" t="s">
        <v>96</v>
      </c>
      <c r="J3" s="150" t="s">
        <v>97</v>
      </c>
    </row>
    <row r="4" spans="2:10" x14ac:dyDescent="0.2">
      <c r="B4" s="149"/>
      <c r="C4" s="151"/>
      <c r="D4" s="151"/>
      <c r="E4" s="151"/>
      <c r="F4" s="151"/>
      <c r="G4" s="151"/>
      <c r="H4" s="151"/>
      <c r="I4" s="151"/>
      <c r="J4" s="151"/>
    </row>
    <row r="5" spans="2:10" x14ac:dyDescent="0.2">
      <c r="B5" s="149"/>
      <c r="C5" s="151"/>
      <c r="D5" s="151"/>
      <c r="E5" s="151"/>
      <c r="F5" s="151"/>
      <c r="G5" s="151"/>
      <c r="H5" s="151"/>
      <c r="I5" s="151"/>
      <c r="J5" s="151"/>
    </row>
    <row r="6" spans="2:10" x14ac:dyDescent="0.2">
      <c r="B6" s="149"/>
      <c r="C6" s="151"/>
      <c r="D6" s="151"/>
      <c r="E6" s="151"/>
      <c r="F6" s="151"/>
      <c r="G6" s="151"/>
      <c r="H6" s="151"/>
      <c r="I6" s="151"/>
      <c r="J6" s="151"/>
    </row>
    <row r="7" spans="2:10" x14ac:dyDescent="0.2">
      <c r="B7" s="149"/>
      <c r="C7" s="151"/>
      <c r="D7" s="151"/>
      <c r="E7" s="151"/>
      <c r="F7" s="151"/>
      <c r="G7" s="151"/>
      <c r="H7" s="151"/>
      <c r="I7" s="151"/>
      <c r="J7" s="151"/>
    </row>
  </sheetData>
  <mergeCells count="1">
    <mergeCell ref="C2:J2"/>
  </mergeCells>
  <phoneticPr fontId="13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2"/>
  <dimension ref="A1:C36"/>
  <sheetViews>
    <sheetView workbookViewId="0">
      <selection activeCell="C16" sqref="C16"/>
    </sheetView>
  </sheetViews>
  <sheetFormatPr baseColWidth="10" defaultColWidth="9.140625" defaultRowHeight="12.75" x14ac:dyDescent="0.2"/>
  <cols>
    <col min="1" max="1" width="4.28515625" customWidth="1"/>
    <col min="2" max="2" width="61.42578125" bestFit="1" customWidth="1"/>
  </cols>
  <sheetData>
    <row r="1" spans="1:3" x14ac:dyDescent="0.2">
      <c r="A1" s="298" t="s">
        <v>29</v>
      </c>
      <c r="B1" s="298"/>
      <c r="C1" s="298"/>
    </row>
    <row r="2" spans="1:3" x14ac:dyDescent="0.2">
      <c r="A2" s="3">
        <v>2.1</v>
      </c>
      <c r="B2" s="3" t="s">
        <v>30</v>
      </c>
      <c r="C2" s="3"/>
    </row>
    <row r="3" spans="1:3" x14ac:dyDescent="0.2">
      <c r="B3" t="s">
        <v>27</v>
      </c>
      <c r="C3">
        <v>1</v>
      </c>
    </row>
    <row r="4" spans="1:3" x14ac:dyDescent="0.2">
      <c r="B4" t="s">
        <v>28</v>
      </c>
      <c r="C4">
        <v>2</v>
      </c>
    </row>
    <row r="5" spans="1:3" x14ac:dyDescent="0.2">
      <c r="A5" s="3">
        <v>2.2000000000000002</v>
      </c>
      <c r="B5" s="3" t="s">
        <v>12</v>
      </c>
      <c r="C5" s="3"/>
    </row>
    <row r="6" spans="1:3" x14ac:dyDescent="0.2">
      <c r="B6" t="s">
        <v>31</v>
      </c>
      <c r="C6">
        <v>1</v>
      </c>
    </row>
    <row r="7" spans="1:3" x14ac:dyDescent="0.2">
      <c r="B7" t="s">
        <v>32</v>
      </c>
      <c r="C7">
        <v>2</v>
      </c>
    </row>
    <row r="8" spans="1:3" x14ac:dyDescent="0.2">
      <c r="B8" t="s">
        <v>33</v>
      </c>
      <c r="C8">
        <v>3</v>
      </c>
    </row>
    <row r="9" spans="1:3" x14ac:dyDescent="0.2">
      <c r="A9" s="3">
        <v>2.2999999999999998</v>
      </c>
      <c r="B9" s="3" t="s">
        <v>14</v>
      </c>
      <c r="C9" s="3"/>
    </row>
    <row r="10" spans="1:3" x14ac:dyDescent="0.2">
      <c r="B10" t="s">
        <v>34</v>
      </c>
      <c r="C10">
        <v>1</v>
      </c>
    </row>
    <row r="11" spans="1:3" x14ac:dyDescent="0.2">
      <c r="B11" t="s">
        <v>35</v>
      </c>
      <c r="C11">
        <v>2</v>
      </c>
    </row>
    <row r="12" spans="1:3" x14ac:dyDescent="0.2">
      <c r="B12" t="s">
        <v>36</v>
      </c>
      <c r="C12">
        <v>3</v>
      </c>
    </row>
    <row r="13" spans="1:3" x14ac:dyDescent="0.2">
      <c r="A13" s="3">
        <v>2.4</v>
      </c>
      <c r="B13" s="3" t="s">
        <v>16</v>
      </c>
      <c r="C13" s="3"/>
    </row>
    <row r="14" spans="1:3" x14ac:dyDescent="0.2">
      <c r="B14" t="s">
        <v>37</v>
      </c>
      <c r="C14">
        <v>1</v>
      </c>
    </row>
    <row r="15" spans="1:3" x14ac:dyDescent="0.2">
      <c r="B15" t="s">
        <v>38</v>
      </c>
      <c r="C15">
        <v>2</v>
      </c>
    </row>
    <row r="16" spans="1:3" x14ac:dyDescent="0.2">
      <c r="B16" t="s">
        <v>39</v>
      </c>
      <c r="C16">
        <v>3</v>
      </c>
    </row>
    <row r="17" spans="1:3" x14ac:dyDescent="0.2">
      <c r="A17" s="3">
        <v>2.5</v>
      </c>
      <c r="B17" s="3" t="s">
        <v>43</v>
      </c>
      <c r="C17" s="3"/>
    </row>
    <row r="18" spans="1:3" x14ac:dyDescent="0.2">
      <c r="B18" t="s">
        <v>40</v>
      </c>
      <c r="C18">
        <v>1</v>
      </c>
    </row>
    <row r="19" spans="1:3" x14ac:dyDescent="0.2">
      <c r="B19" t="s">
        <v>41</v>
      </c>
      <c r="C19">
        <v>2</v>
      </c>
    </row>
    <row r="20" spans="1:3" x14ac:dyDescent="0.2">
      <c r="B20" t="s">
        <v>42</v>
      </c>
      <c r="C20">
        <v>3</v>
      </c>
    </row>
    <row r="21" spans="1:3" x14ac:dyDescent="0.2">
      <c r="A21" s="3">
        <v>2.6</v>
      </c>
      <c r="B21" s="3" t="s">
        <v>44</v>
      </c>
      <c r="C21" s="3"/>
    </row>
    <row r="22" spans="1:3" x14ac:dyDescent="0.2">
      <c r="B22" t="s">
        <v>45</v>
      </c>
      <c r="C22">
        <v>1</v>
      </c>
    </row>
    <row r="23" spans="1:3" x14ac:dyDescent="0.2">
      <c r="B23" t="s">
        <v>46</v>
      </c>
      <c r="C23">
        <v>2</v>
      </c>
    </row>
    <row r="24" spans="1:3" x14ac:dyDescent="0.2">
      <c r="B24" t="s">
        <v>47</v>
      </c>
      <c r="C24">
        <v>3</v>
      </c>
    </row>
    <row r="25" spans="1:3" x14ac:dyDescent="0.2">
      <c r="A25" s="3">
        <v>2.7</v>
      </c>
      <c r="B25" s="3" t="s">
        <v>51</v>
      </c>
      <c r="C25" s="3"/>
    </row>
    <row r="26" spans="1:3" x14ac:dyDescent="0.2">
      <c r="B26" t="s">
        <v>48</v>
      </c>
      <c r="C26">
        <v>1</v>
      </c>
    </row>
    <row r="27" spans="1:3" x14ac:dyDescent="0.2">
      <c r="B27" t="s">
        <v>49</v>
      </c>
      <c r="C27">
        <v>2</v>
      </c>
    </row>
    <row r="28" spans="1:3" x14ac:dyDescent="0.2">
      <c r="B28" t="s">
        <v>50</v>
      </c>
      <c r="C28">
        <v>3</v>
      </c>
    </row>
    <row r="29" spans="1:3" x14ac:dyDescent="0.2">
      <c r="A29" s="3">
        <v>2.8</v>
      </c>
      <c r="B29" s="3" t="s">
        <v>52</v>
      </c>
      <c r="C29" s="3"/>
    </row>
    <row r="30" spans="1:3" x14ac:dyDescent="0.2">
      <c r="B30" t="s">
        <v>53</v>
      </c>
      <c r="C30">
        <v>1</v>
      </c>
    </row>
    <row r="31" spans="1:3" x14ac:dyDescent="0.2">
      <c r="B31" t="s">
        <v>54</v>
      </c>
      <c r="C31">
        <v>2</v>
      </c>
    </row>
    <row r="32" spans="1:3" x14ac:dyDescent="0.2">
      <c r="B32" t="s">
        <v>58</v>
      </c>
      <c r="C32">
        <v>3</v>
      </c>
    </row>
    <row r="33" spans="1:3" x14ac:dyDescent="0.2">
      <c r="A33" s="3">
        <v>2.9</v>
      </c>
      <c r="B33" s="3" t="s">
        <v>26</v>
      </c>
    </row>
    <row r="34" spans="1:3" x14ac:dyDescent="0.2">
      <c r="B34" t="s">
        <v>55</v>
      </c>
      <c r="C34">
        <v>1</v>
      </c>
    </row>
    <row r="35" spans="1:3" x14ac:dyDescent="0.2">
      <c r="B35" t="s">
        <v>56</v>
      </c>
      <c r="C35">
        <v>2</v>
      </c>
    </row>
    <row r="36" spans="1:3" x14ac:dyDescent="0.2">
      <c r="B36" t="s">
        <v>57</v>
      </c>
      <c r="C36">
        <v>3</v>
      </c>
    </row>
  </sheetData>
  <mergeCells count="1">
    <mergeCell ref="A1:C1"/>
  </mergeCells>
  <phoneticPr fontId="0" type="noConversion"/>
  <printOptions gridLines="1"/>
  <pageMargins left="0.92" right="0.74803149606299213" top="0.89" bottom="0.82677165354330717" header="0.19685039370078741" footer="0.51181102362204722"/>
  <pageSetup orientation="portrait" r:id="rId1"/>
  <headerFooter alignWithMargins="0">
    <oddHeader>&amp;CServicios Telepro, S.A. de C.V.&amp;R&amp;T</oddHeader>
    <oddFooter>&amp;R&amp;P/&amp;N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F22"/>
  <sheetViews>
    <sheetView tabSelected="1" zoomScaleNormal="100" workbookViewId="0">
      <selection activeCell="F21" sqref="F21"/>
    </sheetView>
  </sheetViews>
  <sheetFormatPr baseColWidth="10" defaultColWidth="9.140625" defaultRowHeight="12.75" x14ac:dyDescent="0.2"/>
  <cols>
    <col min="1" max="1" width="9.140625" style="153" customWidth="1"/>
    <col min="2" max="2" width="16.85546875" style="153" customWidth="1"/>
    <col min="3" max="3" width="24.140625" style="153" customWidth="1"/>
    <col min="4" max="4" width="25.28515625" style="153" customWidth="1"/>
    <col min="5" max="5" width="16" style="153" customWidth="1"/>
    <col min="6" max="6" width="16.28515625" style="153" customWidth="1"/>
    <col min="7" max="16384" width="9.140625" style="153"/>
  </cols>
  <sheetData>
    <row r="1" spans="2:6" ht="15.75" x14ac:dyDescent="0.25">
      <c r="B1" s="157" t="s">
        <v>148</v>
      </c>
    </row>
    <row r="2" spans="2:6" ht="22.5" customHeight="1" x14ac:dyDescent="0.2">
      <c r="B2" s="152" t="s">
        <v>141</v>
      </c>
      <c r="C2" s="152" t="s">
        <v>142</v>
      </c>
      <c r="D2" s="152" t="s">
        <v>143</v>
      </c>
      <c r="E2" s="152" t="s">
        <v>144</v>
      </c>
      <c r="F2" s="152" t="s">
        <v>61</v>
      </c>
    </row>
    <row r="3" spans="2:6" x14ac:dyDescent="0.2">
      <c r="B3" s="154"/>
      <c r="C3" s="154"/>
      <c r="D3" s="154"/>
      <c r="E3" s="154"/>
      <c r="F3" s="156"/>
    </row>
    <row r="4" spans="2:6" x14ac:dyDescent="0.2">
      <c r="B4" s="154"/>
      <c r="C4" s="154"/>
      <c r="D4" s="154"/>
      <c r="E4" s="154"/>
      <c r="F4" s="154"/>
    </row>
    <row r="5" spans="2:6" x14ac:dyDescent="0.2">
      <c r="B5" s="155"/>
      <c r="C5" s="155"/>
      <c r="D5" s="155"/>
      <c r="E5" s="155"/>
      <c r="F5" s="155"/>
    </row>
    <row r="6" spans="2:6" x14ac:dyDescent="0.2">
      <c r="B6" s="155"/>
      <c r="C6" s="155"/>
      <c r="D6" s="155"/>
      <c r="E6" s="155"/>
      <c r="F6" s="155"/>
    </row>
    <row r="7" spans="2:6" x14ac:dyDescent="0.2">
      <c r="B7" s="155"/>
      <c r="C7" s="155"/>
      <c r="D7" s="155"/>
      <c r="E7" s="155"/>
      <c r="F7" s="155"/>
    </row>
    <row r="8" spans="2:6" x14ac:dyDescent="0.2">
      <c r="B8" s="155"/>
      <c r="C8" s="155"/>
      <c r="D8" s="155"/>
      <c r="E8" s="155"/>
      <c r="F8" s="155"/>
    </row>
    <row r="9" spans="2:6" x14ac:dyDescent="0.2">
      <c r="B9" s="155"/>
      <c r="C9" s="155"/>
      <c r="D9" s="155"/>
      <c r="E9" s="155"/>
      <c r="F9" s="155"/>
    </row>
    <row r="10" spans="2:6" x14ac:dyDescent="0.2">
      <c r="B10" s="155"/>
      <c r="C10" s="155"/>
      <c r="D10" s="155"/>
      <c r="E10" s="155"/>
      <c r="F10" s="155"/>
    </row>
    <row r="11" spans="2:6" x14ac:dyDescent="0.2">
      <c r="B11" s="155"/>
      <c r="C11" s="155"/>
      <c r="D11" s="155"/>
      <c r="E11" s="155"/>
      <c r="F11" s="155"/>
    </row>
    <row r="19" spans="2:6" ht="15.75" x14ac:dyDescent="0.25">
      <c r="B19" s="157" t="s">
        <v>147</v>
      </c>
    </row>
    <row r="20" spans="2:6" x14ac:dyDescent="0.2">
      <c r="B20" s="152" t="s">
        <v>141</v>
      </c>
      <c r="C20" s="152" t="s">
        <v>142</v>
      </c>
      <c r="D20" s="152" t="s">
        <v>143</v>
      </c>
      <c r="E20" s="152" t="s">
        <v>144</v>
      </c>
      <c r="F20" s="152" t="s">
        <v>61</v>
      </c>
    </row>
    <row r="21" spans="2:6" x14ac:dyDescent="0.2">
      <c r="B21" s="154" t="s">
        <v>145</v>
      </c>
      <c r="C21" s="154" t="s">
        <v>146</v>
      </c>
      <c r="D21" s="241" t="s">
        <v>157</v>
      </c>
      <c r="E21" s="154"/>
      <c r="F21" s="156">
        <v>46315</v>
      </c>
    </row>
    <row r="22" spans="2:6" x14ac:dyDescent="0.2">
      <c r="B22" s="154"/>
      <c r="C22" s="154"/>
      <c r="D22" s="154"/>
      <c r="E22" s="154"/>
      <c r="F22" s="154"/>
    </row>
  </sheetData>
  <phoneticPr fontId="28" type="noConversion"/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dc3f11a4-efd3-4ef5-8cd2-7fd79f0c2715" xsi:nil="true"/>
    <lcf76f155ced4ddcb4097134ff3c332f xmlns="dc3f11a4-efd3-4ef5-8cd2-7fd79f0c2715">
      <Terms xmlns="http://schemas.microsoft.com/office/infopath/2007/PartnerControls"/>
    </lcf76f155ced4ddcb4097134ff3c332f>
    <TaxCatchAll xmlns="8c223baa-2662-4c12-850a-db71e53f596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39A418F29511D4B87DF0BE80AD14AFE" ma:contentTypeVersion="10" ma:contentTypeDescription="Crear nuevo documento." ma:contentTypeScope="" ma:versionID="e24171a213efc37cc4c513464ee13d56">
  <xsd:schema xmlns:xsd="http://www.w3.org/2001/XMLSchema" xmlns:xs="http://www.w3.org/2001/XMLSchema" xmlns:p="http://schemas.microsoft.com/office/2006/metadata/properties" xmlns:ns2="dc3f11a4-efd3-4ef5-8cd2-7fd79f0c2715" xmlns:ns3="8c223baa-2662-4c12-850a-db71e53f596b" targetNamespace="http://schemas.microsoft.com/office/2006/metadata/properties" ma:root="true" ma:fieldsID="9fc3b52ac1e5ae1f8a29002f665d4fc1" ns2:_="" ns3:_="">
    <xsd:import namespace="dc3f11a4-efd3-4ef5-8cd2-7fd79f0c2715"/>
    <xsd:import namespace="8c223baa-2662-4c12-850a-db71e53f596b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3f11a4-efd3-4ef5-8cd2-7fd79f0c2715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cbf1caf7-04d9-42cb-a4f9-6caa9a3a8b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223baa-2662-4c12-850a-db71e53f596b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7cd4881b-dd6f-47b5-bd81-f4668ade7d90}" ma:internalName="TaxCatchAll" ma:showField="CatchAllData" ma:web="8c223baa-2662-4c12-850a-db71e53f5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B1A0832-1AFF-44E1-A611-676502B42E6E}">
  <ds:schemaRefs>
    <ds:schemaRef ds:uri="http://schemas.microsoft.com/office/2006/metadata/properties"/>
    <ds:schemaRef ds:uri="http://schemas.microsoft.com/office/infopath/2007/PartnerControls"/>
    <ds:schemaRef ds:uri="31da2742-e517-4d78-a95f-04c4e9ca53b1"/>
  </ds:schemaRefs>
</ds:datastoreItem>
</file>

<file path=customXml/itemProps2.xml><?xml version="1.0" encoding="utf-8"?>
<ds:datastoreItem xmlns:ds="http://schemas.openxmlformats.org/officeDocument/2006/customXml" ds:itemID="{3395A6DA-3E13-48F4-B5B2-F318B760CC40}"/>
</file>

<file path=customXml/itemProps3.xml><?xml version="1.0" encoding="utf-8"?>
<ds:datastoreItem xmlns:ds="http://schemas.openxmlformats.org/officeDocument/2006/customXml" ds:itemID="{B9F67418-03CA-42D7-BE7C-CF84D4EAC5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7</vt:i4>
      </vt:variant>
    </vt:vector>
  </HeadingPairs>
  <TitlesOfParts>
    <vt:vector size="21" baseType="lpstr">
      <vt:lpstr>Complejidad</vt:lpstr>
      <vt:lpstr>E-01</vt:lpstr>
      <vt:lpstr>E-02</vt:lpstr>
      <vt:lpstr>E-03</vt:lpstr>
      <vt:lpstr>E-04</vt:lpstr>
      <vt:lpstr>E-05</vt:lpstr>
      <vt:lpstr>E-06</vt:lpstr>
      <vt:lpstr>Puntos de Función</vt:lpstr>
      <vt:lpstr>Estimación de Esfuerzo y Tamaño</vt:lpstr>
      <vt:lpstr>Riesgos</vt:lpstr>
      <vt:lpstr>Planilla de Precios</vt:lpstr>
      <vt:lpstr>Historia de Proy</vt:lpstr>
      <vt:lpstr>Criterios de Complejidad</vt:lpstr>
      <vt:lpstr>Historial de cambios</vt:lpstr>
      <vt:lpstr>Complejidad!Área_de_impresión</vt:lpstr>
      <vt:lpstr>'E-01'!Área_de_impresión</vt:lpstr>
      <vt:lpstr>'E-02'!Área_de_impresión</vt:lpstr>
      <vt:lpstr>'E-03'!Área_de_impresión</vt:lpstr>
      <vt:lpstr>'E-04'!Área_de_impresión</vt:lpstr>
      <vt:lpstr>'E-05'!Área_de_impresión</vt:lpstr>
      <vt:lpstr>'E-06'!Área_de_impresión</vt:lpstr>
    </vt:vector>
  </TitlesOfParts>
  <Company>Servicios Telepro S.A de C.V.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Estimación del SW</dc:title>
  <dc:subject>Estimación del SW</dc:subject>
  <dc:creator>Prodigia</dc:creator>
  <cp:lastModifiedBy>Mauricio Ramos</cp:lastModifiedBy>
  <cp:lastPrinted>2013-04-02T03:28:24Z</cp:lastPrinted>
  <dcterms:created xsi:type="dcterms:W3CDTF">2001-06-08T17:42:17Z</dcterms:created>
  <dcterms:modified xsi:type="dcterms:W3CDTF">2026-10-20T15:48:00Z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erechos">
    <vt:lpwstr>Prodigia S.A: 2001</vt:lpwstr>
  </property>
  <property fmtid="{D5CDD505-2E9C-101B-9397-08002B2CF9AE}" pid="3" name="ContentTypeId">
    <vt:lpwstr>0x010100D39A418F29511D4B87DF0BE80AD14AFE</vt:lpwstr>
  </property>
  <property fmtid="{D5CDD505-2E9C-101B-9397-08002B2CF9AE}" pid="4" name="Order">
    <vt:r8>1600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_ExtendedDescription">
    <vt:lpwstr/>
  </property>
</Properties>
</file>