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susX\Documents\Proyectos\bloom_cafe\IS001v1.0\Doc\PP\"/>
    </mc:Choice>
  </mc:AlternateContent>
  <xr:revisionPtr revIDLastSave="0" documentId="13_ncr:1_{DC3C0EDE-A9E7-4664-9C06-8B3C506DC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 Calendario" sheetId="2" r:id="rId1"/>
    <sheet name="Resume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H31" i="2"/>
</calcChain>
</file>

<file path=xl/sharedStrings.xml><?xml version="1.0" encoding="utf-8"?>
<sst xmlns="http://schemas.openxmlformats.org/spreadsheetml/2006/main" count="155" uniqueCount="102">
  <si>
    <t>Responsable</t>
  </si>
  <si>
    <t>WBS — BLOOM CAFE IS001v1.0</t>
  </si>
  <si>
    <t>Basado en la estimación actual | Esfuerzo estimado de las seis épicas: 662 horas-hombre</t>
  </si>
  <si>
    <t>WBS</t>
  </si>
  <si>
    <t>Paquete de trabajo / actividad</t>
  </si>
  <si>
    <t>Entregable</t>
  </si>
  <si>
    <t>Inicio</t>
  </si>
  <si>
    <t>Fin</t>
  </si>
  <si>
    <t>Duración (semanas)</t>
  </si>
  <si>
    <t>Esfuerzo (h-h)</t>
  </si>
  <si>
    <t>Dependencias</t>
  </si>
  <si>
    <t>1.0</t>
  </si>
  <si>
    <t>Construcción del Software</t>
  </si>
  <si>
    <t>Inicio del proyecto</t>
  </si>
  <si>
    <t>1.1</t>
  </si>
  <si>
    <t>E-01 Consulta y personalización de productos</t>
  </si>
  <si>
    <t>Consultar menú, ingredientes y personalización.</t>
  </si>
  <si>
    <t>Requisitos validados</t>
  </si>
  <si>
    <t>1.1.1</t>
  </si>
  <si>
    <t>HU-01 Consultar el menú</t>
  </si>
  <si>
    <t>1.1.2</t>
  </si>
  <si>
    <t>HU-05 Personalización del Producto</t>
  </si>
  <si>
    <t>1.2</t>
  </si>
  <si>
    <t>E-02 Registro y gestión de pedidos</t>
  </si>
  <si>
    <t>Crear pedidos en línea y modificar carrito.</t>
  </si>
  <si>
    <t>Diseño inicial; E-01 en avance</t>
  </si>
  <si>
    <t>1.2.1</t>
  </si>
  <si>
    <t>HU-02 Realizar pedidos en línea</t>
  </si>
  <si>
    <t>1.2.2</t>
  </si>
  <si>
    <t>HU-06 Modificar carrito de compras</t>
  </si>
  <si>
    <t>1.3</t>
  </si>
  <si>
    <t>E-03 Seguimiento, cancelación y entrega de pedidos</t>
  </si>
  <si>
    <t>Consultar estado, cancelar y gestionar entrega/recogida.</t>
  </si>
  <si>
    <t>Flujo de pedidos definido</t>
  </si>
  <si>
    <t>1.3.1</t>
  </si>
  <si>
    <t>HU-03 Consultar estado del pedido</t>
  </si>
  <si>
    <t>1.3.2</t>
  </si>
  <si>
    <t>HU-04 Cancelar pedido</t>
  </si>
  <si>
    <t>1.3.3</t>
  </si>
  <si>
    <t>HU-07 Consultar pedidos actuales</t>
  </si>
  <si>
    <t>1.3.4</t>
  </si>
  <si>
    <t>HU-08 Actualizar estado de pedidos</t>
  </si>
  <si>
    <t>1.3.5</t>
  </si>
  <si>
    <t>HU-09 Cancelar pedido por falta de disponibilidad</t>
  </si>
  <si>
    <t>1.3.6</t>
  </si>
  <si>
    <t>HU-10 Consultar el método de pago y el lugar de entrega</t>
  </si>
  <si>
    <t>1.4</t>
  </si>
  <si>
    <t>E-04 Administración de productos y promociones</t>
  </si>
  <si>
    <t>Administrar productos y promociones.</t>
  </si>
  <si>
    <t>E-01 y acceso básico</t>
  </si>
  <si>
    <t>1.4.1</t>
  </si>
  <si>
    <t>HU-13 Administrar productos del menú</t>
  </si>
  <si>
    <t>1.4.2</t>
  </si>
  <si>
    <t>HU-14 Crear promociones y ofertas</t>
  </si>
  <si>
    <t>1.5</t>
  </si>
  <si>
    <t>E-05 Estadísticas de pedidos y ventas</t>
  </si>
  <si>
    <t>Consultar estadísticas de ventas por periodo.</t>
  </si>
  <si>
    <t>Datos de pedidos disponibles</t>
  </si>
  <si>
    <t>1.5.1</t>
  </si>
  <si>
    <t>HU-12 Consultar estadísticas de ventas</t>
  </si>
  <si>
    <t>1.6</t>
  </si>
  <si>
    <t>E-06 Acceso y permisos de usuarios</t>
  </si>
  <si>
    <t>Inicio de sesión y permisos de dueña y empleados.</t>
  </si>
  <si>
    <t>Requisitos de usuarios</t>
  </si>
  <si>
    <t>1.6.1</t>
  </si>
  <si>
    <t>HU-15 Inicio de sesión de dueña y empleados</t>
  </si>
  <si>
    <t>1.6.2</t>
  </si>
  <si>
    <t>HU-16 Asignación de permisos a empleados</t>
  </si>
  <si>
    <t>2.0</t>
  </si>
  <si>
    <t>Pruebas integrales y correcciones</t>
  </si>
  <si>
    <t>Casos de prueba y correcciones</t>
  </si>
  <si>
    <t>—</t>
  </si>
  <si>
    <t>E-01 a E-06 integradas</t>
  </si>
  <si>
    <t>3.0</t>
  </si>
  <si>
    <t>Despliegue, demostración y entrega</t>
  </si>
  <si>
    <t>Versión final, demostración, y manual de usuario</t>
  </si>
  <si>
    <t>Pruebas terminadas</t>
  </si>
  <si>
    <t>4.0</t>
  </si>
  <si>
    <t>Documentación y control de configuración</t>
  </si>
  <si>
    <t>Documento actualizado y control de versiones</t>
  </si>
  <si>
    <t>Durante el proyecto</t>
  </si>
  <si>
    <t>TOTAL ÉPICAS</t>
  </si>
  <si>
    <t>RESUMEN DE ESTIMACIÓN — BLOOM CAFE IS001v1.0</t>
  </si>
  <si>
    <t>Épica</t>
  </si>
  <si>
    <t>Esfuerzo estimado (h-h)</t>
  </si>
  <si>
    <t>TOTAL</t>
  </si>
  <si>
    <t>Calendario preliminar de 5 semanas, del 19/10/2026 al 23/11/2026.</t>
  </si>
  <si>
    <t>S1
19/10–25/10</t>
  </si>
  <si>
    <t>S2
26/10–01/11</t>
  </si>
  <si>
    <t>S3
02/11–08/11</t>
  </si>
  <si>
    <t>S4
09/11–15/11</t>
  </si>
  <si>
    <t>■</t>
  </si>
  <si>
    <t>S5
16/11–23/11</t>
  </si>
  <si>
    <t>Yaroslav G.</t>
  </si>
  <si>
    <t>Código fuente del sistema</t>
  </si>
  <si>
    <t>Cristian S.</t>
  </si>
  <si>
    <t>Nahomy M.</t>
  </si>
  <si>
    <t>Jonathan M.</t>
  </si>
  <si>
    <t>Mauricio R.</t>
  </si>
  <si>
    <t>Carolina C.</t>
  </si>
  <si>
    <t>Maria D.</t>
  </si>
  <si>
    <t>Marlis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</si>
</sst>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b/>
      <sz val="16"/>
      <color rgb="FFFFFFFF"/>
      <name val="Calibri"/>
      <scheme val="minor"/>
    </font>
    <font>
      <sz val="10"/>
      <name val="Calibri"/>
    </font>
    <font>
      <i/>
      <sz val="10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  <scheme val="minor"/>
    </font>
    <font>
      <b/>
      <sz val="9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5"/>
      <color rgb="FFFFFFFF"/>
      <name val="Calibri"/>
      <scheme val="minor"/>
    </font>
    <font>
      <b/>
      <sz val="10"/>
      <color rgb="FFFFFFFF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3395B"/>
      </patternFill>
    </fill>
    <fill>
      <patternFill patternType="solid">
        <fgColor rgb="FFFFF2CC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EC4B6"/>
      </patternFill>
    </fill>
    <fill>
      <patternFill patternType="solid">
        <fgColor rgb="FF5B9BD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14" fontId="4" fillId="4" borderId="5" xfId="0" applyNumberFormat="1" applyFont="1" applyFill="1" applyBorder="1" applyAlignment="1">
      <alignment vertical="center" wrapText="1"/>
    </xf>
    <xf numFmtId="49" fontId="4" fillId="0" borderId="5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14" fontId="4" fillId="0" borderId="5" xfId="0" applyNumberFormat="1" applyFont="1" applyBorder="1" applyAlignment="1">
      <alignment vertical="center" wrapText="1"/>
    </xf>
    <xf numFmtId="0" fontId="7" fillId="2" borderId="4" xfId="0" applyFont="1" applyFill="1" applyBorder="1" applyAlignment="1">
      <alignment horizontal="center" wrapText="1"/>
    </xf>
    <xf numFmtId="2" fontId="4" fillId="0" borderId="5" xfId="0" applyNumberFormat="1" applyFont="1" applyBorder="1" applyAlignment="1">
      <alignment vertical="center" wrapText="1"/>
    </xf>
    <xf numFmtId="2" fontId="4" fillId="4" borderId="5" xfId="0" applyNumberFormat="1" applyFont="1" applyFill="1" applyBorder="1" applyAlignment="1">
      <alignment vertical="center" wrapText="1"/>
    </xf>
    <xf numFmtId="49" fontId="4" fillId="5" borderId="5" xfId="0" applyNumberFormat="1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14" fontId="4" fillId="5" borderId="5" xfId="0" applyNumberFormat="1" applyFont="1" applyFill="1" applyBorder="1" applyAlignment="1">
      <alignment vertical="center" wrapText="1"/>
    </xf>
    <xf numFmtId="0" fontId="7" fillId="2" borderId="4" xfId="0" applyFont="1" applyFill="1" applyBorder="1"/>
    <xf numFmtId="2" fontId="7" fillId="2" borderId="4" xfId="0" applyNumberFormat="1" applyFont="1" applyFill="1" applyBorder="1"/>
    <xf numFmtId="2" fontId="7" fillId="2" borderId="4" xfId="0" applyNumberFormat="1" applyFont="1" applyFill="1" applyBorder="1" applyAlignment="1">
      <alignment horizontal="center" wrapText="1"/>
    </xf>
    <xf numFmtId="1" fontId="4" fillId="4" borderId="5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0" fillId="6" borderId="0" xfId="0" applyFill="1"/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/>
    </xf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/>
    </xf>
    <xf numFmtId="0" fontId="9" fillId="9" borderId="0" xfId="0" applyFont="1" applyFill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5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2" fontId="4" fillId="5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" fontId="4" fillId="5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showGridLines="0" tabSelected="1" zoomScale="64" workbookViewId="0">
      <pane xSplit="9" ySplit="5" topLeftCell="J6" activePane="bottomRight" state="frozen"/>
      <selection pane="topRight"/>
      <selection pane="bottomLeft"/>
      <selection pane="bottomRight" activeCell="H10" sqref="H10"/>
    </sheetView>
  </sheetViews>
  <sheetFormatPr defaultColWidth="14.44140625" defaultRowHeight="13.8" x14ac:dyDescent="0.3"/>
  <cols>
    <col min="1" max="1" width="10" customWidth="1"/>
    <col min="2" max="2" width="44.6640625" customWidth="1"/>
    <col min="3" max="3" width="43" customWidth="1"/>
    <col min="4" max="4" width="28.6640625" customWidth="1"/>
    <col min="5" max="6" width="13" customWidth="1"/>
    <col min="7" max="7" width="17" customWidth="1"/>
    <col min="8" max="8" width="19" customWidth="1"/>
    <col min="9" max="9" width="26" customWidth="1"/>
    <col min="10" max="15" width="12" customWidth="1"/>
    <col min="16" max="21" width="9" customWidth="1"/>
    <col min="22" max="27" width="8.6640625" customWidth="1"/>
  </cols>
  <sheetData>
    <row r="1" spans="1:21" ht="21" x14ac:dyDescent="0.4">
      <c r="A1" s="23" t="s">
        <v>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</row>
    <row r="2" spans="1:21" x14ac:dyDescent="0.3">
      <c r="A2" s="26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31.5" customHeight="1" x14ac:dyDescent="0.3">
      <c r="A3" s="28" t="s">
        <v>86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5"/>
    </row>
    <row r="5" spans="1:21" ht="31.95" customHeight="1" x14ac:dyDescent="0.3">
      <c r="A5" s="1" t="s">
        <v>3</v>
      </c>
      <c r="B5" s="1" t="s">
        <v>4</v>
      </c>
      <c r="C5" s="1" t="s">
        <v>5</v>
      </c>
      <c r="D5" s="1" t="s">
        <v>0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2" t="s">
        <v>87</v>
      </c>
      <c r="K5" s="2" t="s">
        <v>88</v>
      </c>
      <c r="L5" s="2" t="s">
        <v>89</v>
      </c>
      <c r="M5" s="2" t="s">
        <v>90</v>
      </c>
      <c r="N5" s="2" t="s">
        <v>92</v>
      </c>
    </row>
    <row r="6" spans="1:21" ht="37.5" customHeight="1" x14ac:dyDescent="0.3">
      <c r="A6" s="3" t="s">
        <v>11</v>
      </c>
      <c r="B6" s="4" t="s">
        <v>12</v>
      </c>
      <c r="C6" s="4" t="s">
        <v>94</v>
      </c>
      <c r="D6" s="33"/>
      <c r="E6" s="5">
        <v>46314</v>
      </c>
      <c r="F6" s="5">
        <v>46349</v>
      </c>
      <c r="G6" s="18">
        <v>5</v>
      </c>
      <c r="H6" s="36">
        <v>662</v>
      </c>
      <c r="I6" s="4" t="s">
        <v>13</v>
      </c>
      <c r="J6" s="21" t="s">
        <v>91</v>
      </c>
      <c r="K6" s="21" t="s">
        <v>91</v>
      </c>
      <c r="L6" s="21" t="s">
        <v>91</v>
      </c>
      <c r="M6" s="21" t="s">
        <v>91</v>
      </c>
      <c r="N6" s="32"/>
    </row>
    <row r="7" spans="1:21" ht="37.5" customHeight="1" x14ac:dyDescent="0.3">
      <c r="A7" s="6" t="s">
        <v>14</v>
      </c>
      <c r="B7" s="7" t="s">
        <v>15</v>
      </c>
      <c r="C7" s="7" t="s">
        <v>16</v>
      </c>
      <c r="D7" s="34" t="s">
        <v>97</v>
      </c>
      <c r="E7" s="8">
        <v>46321</v>
      </c>
      <c r="F7" s="8">
        <v>46334</v>
      </c>
      <c r="G7" s="19">
        <v>2</v>
      </c>
      <c r="H7" s="37">
        <v>98</v>
      </c>
      <c r="I7" s="7" t="s">
        <v>17</v>
      </c>
      <c r="J7" s="20"/>
      <c r="K7" s="21" t="s">
        <v>91</v>
      </c>
      <c r="L7" s="21" t="s">
        <v>91</v>
      </c>
      <c r="M7" s="20"/>
      <c r="N7" s="20"/>
    </row>
    <row r="8" spans="1:21" ht="37.5" customHeight="1" x14ac:dyDescent="0.3">
      <c r="A8" s="3" t="s">
        <v>18</v>
      </c>
      <c r="B8" s="4" t="s">
        <v>19</v>
      </c>
      <c r="C8" s="4"/>
      <c r="D8" s="33" t="s">
        <v>97</v>
      </c>
      <c r="E8" s="5"/>
      <c r="F8" s="5"/>
      <c r="G8" s="18"/>
      <c r="H8" s="38"/>
      <c r="I8" s="4"/>
      <c r="J8" s="20"/>
      <c r="K8" s="20"/>
      <c r="L8" s="20"/>
      <c r="M8" s="20"/>
      <c r="N8" s="20"/>
    </row>
    <row r="9" spans="1:21" ht="37.5" customHeight="1" x14ac:dyDescent="0.3">
      <c r="A9" s="12" t="s">
        <v>20</v>
      </c>
      <c r="B9" s="13" t="s">
        <v>21</v>
      </c>
      <c r="C9" s="13"/>
      <c r="D9" s="35" t="s">
        <v>96</v>
      </c>
      <c r="E9" s="14"/>
      <c r="F9" s="14"/>
      <c r="G9" s="41"/>
      <c r="H9" s="39"/>
      <c r="I9" s="13"/>
      <c r="J9" s="20"/>
      <c r="K9" s="20"/>
      <c r="L9" s="20"/>
      <c r="M9" s="20"/>
      <c r="N9" s="20"/>
    </row>
    <row r="10" spans="1:21" ht="37.5" customHeight="1" x14ac:dyDescent="0.3">
      <c r="A10" s="3" t="s">
        <v>22</v>
      </c>
      <c r="B10" s="4" t="s">
        <v>23</v>
      </c>
      <c r="C10" s="4" t="s">
        <v>24</v>
      </c>
      <c r="D10" s="33" t="s">
        <v>98</v>
      </c>
      <c r="E10" s="5">
        <v>46328</v>
      </c>
      <c r="F10" s="5">
        <v>46335</v>
      </c>
      <c r="G10" s="18">
        <v>1</v>
      </c>
      <c r="H10" s="38">
        <v>104</v>
      </c>
      <c r="I10" s="4" t="s">
        <v>25</v>
      </c>
      <c r="J10" s="20"/>
      <c r="K10" s="20"/>
      <c r="L10" s="21" t="s">
        <v>91</v>
      </c>
      <c r="M10" s="20"/>
      <c r="N10" s="20"/>
    </row>
    <row r="11" spans="1:21" ht="37.5" customHeight="1" x14ac:dyDescent="0.3">
      <c r="A11" s="6" t="s">
        <v>26</v>
      </c>
      <c r="B11" s="7" t="s">
        <v>27</v>
      </c>
      <c r="C11" s="7"/>
      <c r="D11" s="34" t="s">
        <v>98</v>
      </c>
      <c r="E11" s="8"/>
      <c r="F11" s="8"/>
      <c r="G11" s="19"/>
      <c r="H11" s="37"/>
      <c r="I11" s="7"/>
      <c r="J11" s="20"/>
      <c r="K11" s="20"/>
      <c r="L11" s="20"/>
      <c r="M11" s="20"/>
      <c r="N11" s="20"/>
    </row>
    <row r="12" spans="1:21" ht="37.5" customHeight="1" x14ac:dyDescent="0.3">
      <c r="A12" s="3" t="s">
        <v>28</v>
      </c>
      <c r="B12" s="4" t="s">
        <v>29</v>
      </c>
      <c r="C12" s="4"/>
      <c r="D12" s="33" t="s">
        <v>95</v>
      </c>
      <c r="E12" s="5"/>
      <c r="F12" s="5"/>
      <c r="G12" s="18"/>
      <c r="H12" s="38"/>
      <c r="I12" s="4"/>
      <c r="J12" s="20"/>
      <c r="K12" s="20"/>
      <c r="L12" s="20"/>
      <c r="M12" s="20"/>
      <c r="N12" s="20"/>
    </row>
    <row r="13" spans="1:21" ht="37.5" customHeight="1" x14ac:dyDescent="0.3">
      <c r="A13" s="6" t="s">
        <v>30</v>
      </c>
      <c r="B13" s="7" t="s">
        <v>31</v>
      </c>
      <c r="C13" s="7" t="s">
        <v>32</v>
      </c>
      <c r="D13" s="34" t="s">
        <v>99</v>
      </c>
      <c r="E13" s="8">
        <v>46335</v>
      </c>
      <c r="F13" s="8">
        <v>46341</v>
      </c>
      <c r="G13" s="19">
        <v>1</v>
      </c>
      <c r="H13" s="37">
        <v>130</v>
      </c>
      <c r="I13" s="7" t="s">
        <v>33</v>
      </c>
      <c r="J13" s="20"/>
      <c r="K13" s="20"/>
      <c r="L13" s="20"/>
      <c r="M13" s="21" t="s">
        <v>91</v>
      </c>
      <c r="N13" s="20"/>
    </row>
    <row r="14" spans="1:21" ht="37.5" customHeight="1" x14ac:dyDescent="0.3">
      <c r="A14" s="3" t="s">
        <v>34</v>
      </c>
      <c r="B14" s="4" t="s">
        <v>35</v>
      </c>
      <c r="C14" s="4"/>
      <c r="D14" s="33" t="s">
        <v>99</v>
      </c>
      <c r="E14" s="5"/>
      <c r="F14" s="5"/>
      <c r="G14" s="18"/>
      <c r="H14" s="38"/>
      <c r="I14" s="4"/>
      <c r="J14" s="20"/>
      <c r="K14" s="20"/>
      <c r="L14" s="20"/>
      <c r="M14" s="20"/>
      <c r="N14" s="20"/>
    </row>
    <row r="15" spans="1:21" ht="37.5" customHeight="1" x14ac:dyDescent="0.3">
      <c r="A15" s="12" t="s">
        <v>36</v>
      </c>
      <c r="B15" s="13" t="s">
        <v>37</v>
      </c>
      <c r="C15" s="13"/>
      <c r="D15" s="35" t="s">
        <v>100</v>
      </c>
      <c r="E15" s="14"/>
      <c r="F15" s="14"/>
      <c r="G15" s="41"/>
      <c r="H15" s="39"/>
      <c r="I15" s="13"/>
      <c r="J15" s="20"/>
      <c r="K15" s="20"/>
      <c r="L15" s="20"/>
      <c r="M15" s="20"/>
      <c r="N15" s="20"/>
    </row>
    <row r="16" spans="1:21" ht="37.5" customHeight="1" x14ac:dyDescent="0.3">
      <c r="A16" s="3" t="s">
        <v>38</v>
      </c>
      <c r="B16" s="4" t="s">
        <v>39</v>
      </c>
      <c r="C16" s="4"/>
      <c r="D16" s="33" t="s">
        <v>99</v>
      </c>
      <c r="E16" s="5"/>
      <c r="F16" s="5"/>
      <c r="G16" s="18"/>
      <c r="H16" s="38"/>
      <c r="I16" s="4"/>
      <c r="J16" s="20"/>
      <c r="K16" s="20"/>
      <c r="L16" s="20"/>
      <c r="M16" s="20"/>
      <c r="N16" s="20"/>
    </row>
    <row r="17" spans="1:14" ht="37.5" customHeight="1" x14ac:dyDescent="0.3">
      <c r="A17" s="12" t="s">
        <v>40</v>
      </c>
      <c r="B17" s="13" t="s">
        <v>41</v>
      </c>
      <c r="C17" s="13"/>
      <c r="D17" s="35" t="s">
        <v>95</v>
      </c>
      <c r="E17" s="14"/>
      <c r="F17" s="14"/>
      <c r="G17" s="41"/>
      <c r="H17" s="39"/>
      <c r="I17" s="13"/>
      <c r="J17" s="20"/>
      <c r="K17" s="20"/>
      <c r="L17" s="20"/>
      <c r="M17" s="20"/>
      <c r="N17" s="20"/>
    </row>
    <row r="18" spans="1:14" ht="37.5" customHeight="1" x14ac:dyDescent="0.3">
      <c r="A18" s="3" t="s">
        <v>42</v>
      </c>
      <c r="B18" s="4" t="s">
        <v>43</v>
      </c>
      <c r="C18" s="4"/>
      <c r="D18" s="33" t="s">
        <v>101</v>
      </c>
      <c r="E18" s="5"/>
      <c r="F18" s="5"/>
      <c r="G18" s="18"/>
      <c r="H18" s="38"/>
      <c r="I18" s="4"/>
      <c r="J18" s="20"/>
      <c r="K18" s="20"/>
      <c r="L18" s="20"/>
      <c r="M18" s="20"/>
      <c r="N18" s="20"/>
    </row>
    <row r="19" spans="1:14" ht="37.5" customHeight="1" x14ac:dyDescent="0.3">
      <c r="A19" s="12" t="s">
        <v>44</v>
      </c>
      <c r="B19" s="13" t="s">
        <v>45</v>
      </c>
      <c r="C19" s="13"/>
      <c r="D19" s="35" t="s">
        <v>93</v>
      </c>
      <c r="E19" s="14"/>
      <c r="F19" s="14"/>
      <c r="G19" s="41"/>
      <c r="H19" s="39"/>
      <c r="I19" s="13"/>
      <c r="J19" s="20"/>
      <c r="K19" s="20"/>
      <c r="L19" s="20"/>
      <c r="M19" s="20"/>
      <c r="N19" s="20"/>
    </row>
    <row r="20" spans="1:14" ht="37.5" customHeight="1" x14ac:dyDescent="0.3">
      <c r="A20" s="3" t="s">
        <v>46</v>
      </c>
      <c r="B20" s="4" t="s">
        <v>47</v>
      </c>
      <c r="C20" s="4" t="s">
        <v>48</v>
      </c>
      <c r="D20" s="33" t="s">
        <v>100</v>
      </c>
      <c r="E20" s="5">
        <v>46337</v>
      </c>
      <c r="F20" s="5">
        <v>46341</v>
      </c>
      <c r="G20" s="18">
        <v>1</v>
      </c>
      <c r="H20" s="38">
        <v>116</v>
      </c>
      <c r="I20" s="4" t="s">
        <v>49</v>
      </c>
      <c r="J20" s="20"/>
      <c r="K20" s="20"/>
      <c r="L20" s="20"/>
      <c r="M20" s="21" t="s">
        <v>91</v>
      </c>
    </row>
    <row r="21" spans="1:14" ht="37.5" customHeight="1" x14ac:dyDescent="0.3">
      <c r="A21" s="12" t="s">
        <v>50</v>
      </c>
      <c r="B21" s="13" t="s">
        <v>51</v>
      </c>
      <c r="C21" s="13"/>
      <c r="D21" s="35" t="s">
        <v>100</v>
      </c>
      <c r="E21" s="14"/>
      <c r="F21" s="14"/>
      <c r="G21" s="41"/>
      <c r="H21" s="39"/>
      <c r="I21" s="13"/>
      <c r="J21" s="20"/>
      <c r="K21" s="20"/>
      <c r="L21" s="20"/>
      <c r="M21" s="20"/>
      <c r="N21" s="20"/>
    </row>
    <row r="22" spans="1:14" ht="37.5" customHeight="1" x14ac:dyDescent="0.3">
      <c r="A22" s="3" t="s">
        <v>52</v>
      </c>
      <c r="B22" s="4" t="s">
        <v>53</v>
      </c>
      <c r="C22" s="4"/>
      <c r="D22" s="33" t="s">
        <v>98</v>
      </c>
      <c r="E22" s="5"/>
      <c r="F22" s="5"/>
      <c r="G22" s="18"/>
      <c r="H22" s="38"/>
      <c r="I22" s="4"/>
      <c r="J22" s="20"/>
      <c r="K22" s="20"/>
      <c r="L22" s="20"/>
      <c r="M22" s="20"/>
      <c r="N22" s="20"/>
    </row>
    <row r="23" spans="1:14" ht="37.5" customHeight="1" x14ac:dyDescent="0.3">
      <c r="A23" s="12" t="s">
        <v>54</v>
      </c>
      <c r="B23" s="13" t="s">
        <v>55</v>
      </c>
      <c r="C23" s="13" t="s">
        <v>56</v>
      </c>
      <c r="D23" s="35" t="s">
        <v>101</v>
      </c>
      <c r="E23" s="14">
        <v>46335</v>
      </c>
      <c r="F23" s="14">
        <v>46341</v>
      </c>
      <c r="G23" s="41">
        <v>1</v>
      </c>
      <c r="H23" s="39">
        <v>94</v>
      </c>
      <c r="I23" s="13" t="s">
        <v>57</v>
      </c>
      <c r="J23" s="20"/>
      <c r="K23" s="20"/>
      <c r="L23" s="20"/>
      <c r="M23" s="21" t="s">
        <v>91</v>
      </c>
      <c r="N23" s="20"/>
    </row>
    <row r="24" spans="1:14" ht="37.5" customHeight="1" x14ac:dyDescent="0.3">
      <c r="A24" s="3" t="s">
        <v>58</v>
      </c>
      <c r="B24" s="4" t="s">
        <v>59</v>
      </c>
      <c r="C24" s="4"/>
      <c r="D24" s="36" t="s">
        <v>101</v>
      </c>
      <c r="E24" s="5"/>
      <c r="F24" s="5"/>
      <c r="G24" s="18"/>
      <c r="H24" s="38"/>
      <c r="I24" s="4"/>
      <c r="J24" s="20"/>
      <c r="K24" s="20"/>
      <c r="L24" s="20"/>
      <c r="M24" s="20"/>
      <c r="N24" s="20"/>
    </row>
    <row r="25" spans="1:14" ht="37.5" customHeight="1" x14ac:dyDescent="0.3">
      <c r="A25" s="12" t="s">
        <v>60</v>
      </c>
      <c r="B25" s="13" t="s">
        <v>61</v>
      </c>
      <c r="C25" s="13" t="s">
        <v>62</v>
      </c>
      <c r="D25" s="35" t="s">
        <v>97</v>
      </c>
      <c r="E25" s="14">
        <v>46321</v>
      </c>
      <c r="F25" s="14">
        <v>46341</v>
      </c>
      <c r="G25" s="41">
        <v>3</v>
      </c>
      <c r="H25" s="39">
        <v>120</v>
      </c>
      <c r="I25" s="13" t="s">
        <v>63</v>
      </c>
      <c r="J25" s="20"/>
      <c r="K25" s="21" t="s">
        <v>91</v>
      </c>
      <c r="L25" s="21" t="s">
        <v>91</v>
      </c>
      <c r="M25" s="21" t="s">
        <v>91</v>
      </c>
      <c r="N25" s="20"/>
    </row>
    <row r="26" spans="1:14" ht="37.5" customHeight="1" x14ac:dyDescent="0.3">
      <c r="A26" s="3" t="s">
        <v>64</v>
      </c>
      <c r="B26" s="4" t="s">
        <v>65</v>
      </c>
      <c r="C26" s="4"/>
      <c r="D26" s="33" t="s">
        <v>97</v>
      </c>
      <c r="E26" s="5"/>
      <c r="F26" s="5"/>
      <c r="G26" s="18"/>
      <c r="H26" s="36"/>
      <c r="I26" s="4"/>
      <c r="J26" s="20"/>
      <c r="K26" s="20"/>
      <c r="L26" s="20"/>
      <c r="M26" s="20"/>
      <c r="N26" s="20"/>
    </row>
    <row r="27" spans="1:14" ht="37.5" customHeight="1" x14ac:dyDescent="0.3">
      <c r="A27" s="12" t="s">
        <v>66</v>
      </c>
      <c r="B27" s="13" t="s">
        <v>67</v>
      </c>
      <c r="C27" s="13"/>
      <c r="D27" s="35" t="s">
        <v>96</v>
      </c>
      <c r="E27" s="14"/>
      <c r="F27" s="14"/>
      <c r="G27" s="41"/>
      <c r="H27" s="40"/>
      <c r="I27" s="13"/>
      <c r="J27" s="20"/>
      <c r="K27" s="20"/>
      <c r="L27" s="20"/>
      <c r="M27" s="20"/>
      <c r="N27" s="20"/>
    </row>
    <row r="28" spans="1:14" ht="37.5" customHeight="1" x14ac:dyDescent="0.3">
      <c r="A28" s="3" t="s">
        <v>68</v>
      </c>
      <c r="B28" s="4" t="s">
        <v>69</v>
      </c>
      <c r="C28" s="4" t="s">
        <v>70</v>
      </c>
      <c r="D28" s="33" t="s">
        <v>95</v>
      </c>
      <c r="E28" s="5">
        <v>46342</v>
      </c>
      <c r="F28" s="5">
        <v>46346</v>
      </c>
      <c r="G28" s="18">
        <v>1</v>
      </c>
      <c r="H28" s="36" t="s">
        <v>71</v>
      </c>
      <c r="I28" s="4" t="s">
        <v>72</v>
      </c>
      <c r="J28" s="20"/>
      <c r="K28" s="20"/>
      <c r="L28" s="20"/>
      <c r="M28" s="20"/>
      <c r="N28" s="22" t="s">
        <v>91</v>
      </c>
    </row>
    <row r="29" spans="1:14" ht="37.5" customHeight="1" x14ac:dyDescent="0.3">
      <c r="A29" s="12" t="s">
        <v>73</v>
      </c>
      <c r="B29" s="13" t="s">
        <v>74</v>
      </c>
      <c r="C29" s="13" t="s">
        <v>75</v>
      </c>
      <c r="D29" s="35" t="s">
        <v>96</v>
      </c>
      <c r="E29" s="14">
        <v>46347</v>
      </c>
      <c r="F29" s="14">
        <v>46349</v>
      </c>
      <c r="G29" s="41">
        <v>1</v>
      </c>
      <c r="H29" s="40" t="s">
        <v>71</v>
      </c>
      <c r="I29" s="13" t="s">
        <v>76</v>
      </c>
      <c r="J29" s="20"/>
      <c r="K29" s="20"/>
      <c r="L29" s="20"/>
      <c r="M29" s="20"/>
      <c r="N29" s="22" t="s">
        <v>91</v>
      </c>
    </row>
    <row r="30" spans="1:14" ht="37.5" customHeight="1" x14ac:dyDescent="0.3">
      <c r="A30" s="3" t="s">
        <v>77</v>
      </c>
      <c r="B30" s="4" t="s">
        <v>78</v>
      </c>
      <c r="C30" s="4" t="s">
        <v>79</v>
      </c>
      <c r="D30" s="33" t="s">
        <v>93</v>
      </c>
      <c r="E30" s="5">
        <v>46314</v>
      </c>
      <c r="F30" s="5">
        <v>46349</v>
      </c>
      <c r="G30" s="18">
        <v>5</v>
      </c>
      <c r="H30" s="36" t="s">
        <v>71</v>
      </c>
      <c r="I30" s="4" t="s">
        <v>80</v>
      </c>
      <c r="J30" s="22" t="s">
        <v>91</v>
      </c>
      <c r="K30" s="22" t="s">
        <v>91</v>
      </c>
      <c r="L30" s="22" t="s">
        <v>91</v>
      </c>
      <c r="M30" s="22" t="s">
        <v>91</v>
      </c>
      <c r="N30" s="22" t="s">
        <v>91</v>
      </c>
    </row>
    <row r="31" spans="1:14" x14ac:dyDescent="0.3">
      <c r="A31" s="29" t="s">
        <v>81</v>
      </c>
      <c r="B31" s="24"/>
      <c r="C31" s="24"/>
      <c r="D31" s="24"/>
      <c r="E31" s="24"/>
      <c r="F31" s="24"/>
      <c r="G31" s="25"/>
      <c r="H31" s="17">
        <f>SUM(H7+H10+H13+H20+H23+H25)</f>
        <v>662</v>
      </c>
      <c r="I31" s="9"/>
      <c r="J31" s="9"/>
      <c r="K31" s="9"/>
      <c r="L31" s="9"/>
      <c r="M31" s="9"/>
      <c r="N31" s="9"/>
    </row>
    <row r="33" spans="1:21" ht="34.5" customHeight="1" x14ac:dyDescent="0.3">
      <c r="A33" s="30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5"/>
    </row>
  </sheetData>
  <mergeCells count="5">
    <mergeCell ref="A1:U1"/>
    <mergeCell ref="A2:U2"/>
    <mergeCell ref="A3:U3"/>
    <mergeCell ref="A31:G31"/>
    <mergeCell ref="A33:U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pane ySplit="3" topLeftCell="A4" activePane="bottomLeft" state="frozen"/>
      <selection pane="bottomLeft" sqref="A1:F1"/>
    </sheetView>
  </sheetViews>
  <sheetFormatPr defaultColWidth="14.44140625" defaultRowHeight="13.8" x14ac:dyDescent="0.3"/>
  <cols>
    <col min="1" max="1" width="48" customWidth="1"/>
    <col min="2" max="2" width="22" customWidth="1"/>
    <col min="3" max="4" width="16" customWidth="1"/>
    <col min="5" max="5" width="20" customWidth="1"/>
    <col min="6" max="6" width="50" customWidth="1"/>
    <col min="7" max="26" width="8.6640625" customWidth="1"/>
  </cols>
  <sheetData>
    <row r="1" spans="1:6" ht="19.8" x14ac:dyDescent="0.4">
      <c r="A1" s="31" t="s">
        <v>82</v>
      </c>
      <c r="B1" s="24"/>
      <c r="C1" s="24"/>
      <c r="D1" s="24"/>
      <c r="E1" s="24"/>
      <c r="F1" s="25"/>
    </row>
    <row r="3" spans="1:6" x14ac:dyDescent="0.3">
      <c r="A3" s="9" t="s">
        <v>83</v>
      </c>
      <c r="B3" s="9" t="s">
        <v>84</v>
      </c>
      <c r="C3" s="9" t="s">
        <v>6</v>
      </c>
      <c r="D3" s="9" t="s">
        <v>7</v>
      </c>
      <c r="E3" s="9" t="s">
        <v>8</v>
      </c>
      <c r="F3" s="9" t="s">
        <v>5</v>
      </c>
    </row>
    <row r="4" spans="1:6" ht="37.5" customHeight="1" x14ac:dyDescent="0.3">
      <c r="A4" s="4" t="s">
        <v>15</v>
      </c>
      <c r="B4" s="11">
        <v>98</v>
      </c>
      <c r="C4" s="5">
        <v>46321</v>
      </c>
      <c r="D4" s="5">
        <v>46334</v>
      </c>
      <c r="E4" s="18">
        <v>2</v>
      </c>
      <c r="F4" s="4" t="s">
        <v>16</v>
      </c>
    </row>
    <row r="5" spans="1:6" ht="37.5" customHeight="1" x14ac:dyDescent="0.3">
      <c r="A5" s="7" t="s">
        <v>23</v>
      </c>
      <c r="B5" s="10">
        <v>104</v>
      </c>
      <c r="C5" s="8">
        <v>46328</v>
      </c>
      <c r="D5" s="8">
        <v>46335</v>
      </c>
      <c r="E5" s="19">
        <v>1</v>
      </c>
      <c r="F5" s="7" t="s">
        <v>24</v>
      </c>
    </row>
    <row r="6" spans="1:6" ht="37.5" customHeight="1" x14ac:dyDescent="0.3">
      <c r="A6" s="4" t="s">
        <v>31</v>
      </c>
      <c r="B6" s="11">
        <v>130</v>
      </c>
      <c r="C6" s="5">
        <v>46335</v>
      </c>
      <c r="D6" s="5">
        <v>46341</v>
      </c>
      <c r="E6" s="18">
        <v>1</v>
      </c>
      <c r="F6" s="4" t="s">
        <v>32</v>
      </c>
    </row>
    <row r="7" spans="1:6" ht="37.5" customHeight="1" x14ac:dyDescent="0.3">
      <c r="A7" s="7" t="s">
        <v>47</v>
      </c>
      <c r="B7" s="10">
        <v>116</v>
      </c>
      <c r="C7" s="8">
        <v>46342</v>
      </c>
      <c r="D7" s="8">
        <v>46348</v>
      </c>
      <c r="E7" s="19">
        <v>1</v>
      </c>
      <c r="F7" s="7" t="s">
        <v>48</v>
      </c>
    </row>
    <row r="8" spans="1:6" ht="37.5" customHeight="1" x14ac:dyDescent="0.3">
      <c r="A8" s="4" t="s">
        <v>55</v>
      </c>
      <c r="B8" s="11">
        <v>94</v>
      </c>
      <c r="C8" s="5">
        <v>46335</v>
      </c>
      <c r="D8" s="5">
        <v>46341</v>
      </c>
      <c r="E8" s="18">
        <v>1</v>
      </c>
      <c r="F8" s="4" t="s">
        <v>56</v>
      </c>
    </row>
    <row r="9" spans="1:6" ht="37.5" customHeight="1" x14ac:dyDescent="0.3">
      <c r="A9" s="7" t="s">
        <v>61</v>
      </c>
      <c r="B9" s="10">
        <v>120</v>
      </c>
      <c r="C9" s="8">
        <v>46321</v>
      </c>
      <c r="D9" s="8">
        <v>46341</v>
      </c>
      <c r="E9" s="19">
        <v>3</v>
      </c>
      <c r="F9" s="7" t="s">
        <v>62</v>
      </c>
    </row>
    <row r="10" spans="1:6" x14ac:dyDescent="0.3">
      <c r="A10" s="15" t="s">
        <v>85</v>
      </c>
      <c r="B10" s="16">
        <f>SUM(B4:B9)</f>
        <v>662</v>
      </c>
      <c r="C10" s="15"/>
      <c r="D10" s="15"/>
      <c r="E10" s="15"/>
      <c r="F10" s="15"/>
    </row>
    <row r="12" spans="1:6" ht="34.5" customHeight="1" x14ac:dyDescent="0.3">
      <c r="A12" s="30"/>
      <c r="B12" s="24"/>
      <c r="C12" s="24"/>
      <c r="D12" s="24"/>
      <c r="E12" s="24"/>
      <c r="F12" s="25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Calendario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Ramos</cp:lastModifiedBy>
  <dcterms:modified xsi:type="dcterms:W3CDTF">2026-10-29T01:44:36Z</dcterms:modified>
</cp:coreProperties>
</file>